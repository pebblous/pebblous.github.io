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e — 자체 성장" sheetId="1" state="visible" r:id="rId3"/>
    <sheet name="Accelerated — 투자 후 가속" sheetId="2" state="visible" r:id="rId4"/>
    <sheet name="시나리오 비교" sheetId="3" state="visible" r:id="rId5"/>
    <sheet name="5개년 마일스톤" sheetId="4" state="visible" r:id="rId6"/>
    <sheet name="Maximum Potential — 1천억" sheetId="5" state="visible" r:id="rId7"/>
    <sheet name="Unit Economic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<sst xmlns="http://schemas.openxmlformats.org/spreadsheetml/2006/main" count="593" uniqueCount="468">
  <si>
    <t xml:space="preserve">시나리오 A: 자체 성장 (투자 미유치 시)</t>
  </si>
  <si>
    <t xml:space="preserve">단위: 백만원  |  투자금 없이 자체 매출+보조금으로 성장하는 시나리오</t>
  </si>
  <si>
    <t xml:space="preserve">항목</t>
  </si>
  <si>
    <t xml:space="preserve">2024A</t>
  </si>
  <si>
    <t xml:space="preserve">2025A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</si>
  <si>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</si>
  <si>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</si>
  <si>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</si>
  <si>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</si>
  <si>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</si>
  <si>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r>
      <rPr>
        <b val="true"/>
        <sz val="11"/>
        <color rgb="FF1A1A2E"/>
        <rFont val="Arial"/>
        <family val="0"/>
        <charset val="1"/>
      </rPr>
      <t xml:space="preserve">I. </t>
    </r>
    <r>
      <rPr>
        <b val="true"/>
        <sz val="11"/>
        <color rgb="FF1A1A2E"/>
        <rFont val="Noto Sans CJK SC"/>
        <family val="2"/>
      </rPr>
      <t xml:space="preserve">매출액</t>
    </r>
  </si>
  <si>
    <r>
      <rPr>
        <sz val="10"/>
        <color rgb="FF000000"/>
        <rFont val="Arial"/>
        <family val="0"/>
        <charset val="1"/>
      </rPr>
      <t xml:space="preserve">A. DataClinic </t>
    </r>
    <r>
      <rPr>
        <sz val="10"/>
        <color rgb="FF000000"/>
        <rFont val="Noto Sans CJK SC"/>
        <family val="2"/>
      </rPr>
      <t xml:space="preserve">플랫폼 </t>
    </r>
    <r>
      <rPr>
        <sz val="10"/>
        <color rgb="FF000000"/>
        <rFont val="Arial"/>
        <family val="0"/>
        <charset val="1"/>
      </rPr>
      <t xml:space="preserve">(SaaS/API/Agent/</t>
    </r>
    <r>
      <rPr>
        <sz val="10"/>
        <color rgb="FF000000"/>
        <rFont val="Noto Sans CJK SC"/>
        <family val="2"/>
      </rPr>
      <t xml:space="preserve">온프렘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</si>
  <si>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B. B2G </t>
    </r>
    <r>
      <rPr>
        <sz val="10"/>
        <color rgb="FF000000"/>
        <rFont val="Noto Sans CJK SC"/>
        <family val="2"/>
      </rPr>
      <t xml:space="preserve">납품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조달청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Noto Sans CJK SC"/>
        <family val="2"/>
      </rPr>
      <t xml:space="preserve">국방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</si>
  <si>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C. </t>
    </r>
    <r>
      <rPr>
        <sz val="10"/>
        <color rgb="FF000000"/>
        <rFont val="Noto Sans CJK SC"/>
        <family val="2"/>
      </rPr>
      <t xml:space="preserve">합성데이터 프로젝트</t>
    </r>
  </si>
  <si>
    <r>
      <rPr>
        <sz val="10"/>
        <color rgb="FF000000"/>
        <rFont val="Arial"/>
        <family val="0"/>
        <charset val="1"/>
      </rPr>
      <t xml:space="preserve">D. </t>
    </r>
    <r>
      <rPr>
        <sz val="10"/>
        <color rgb="FF000000"/>
        <rFont val="Noto Sans CJK SC"/>
        <family val="2"/>
      </rPr>
      <t xml:space="preserve">인증 비즈니스 </t>
    </r>
    <r>
      <rPr>
        <sz val="10"/>
        <color rgb="FF000000"/>
        <rFont val="Arial"/>
        <family val="0"/>
        <charset val="1"/>
      </rPr>
      <t xml:space="preserve">(KOLAS)</t>
    </r>
  </si>
  <si>
    <r>
      <rPr>
        <sz val="10"/>
        <color rgb="FF000000"/>
        <rFont val="Arial"/>
        <family val="0"/>
        <charset val="1"/>
      </rPr>
      <t xml:space="preserve">E. AWS SaaS (</t>
    </r>
    <r>
      <rPr>
        <sz val="10"/>
        <color rgb="FF000000"/>
        <rFont val="Noto Sans CJK SC"/>
        <family val="2"/>
      </rPr>
      <t xml:space="preserve">글로벌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</si>
  <si>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F. PebbloSim </t>
    </r>
    <r>
      <rPr>
        <sz val="10"/>
        <color rgb="FF000000"/>
        <rFont val="Noto Sans CJK SC"/>
        <family val="2"/>
      </rPr>
      <t xml:space="preserve">상용화</t>
    </r>
  </si>
  <si>
    <t xml:space="preserve">매출액 합계</t>
  </si>
  <si>
    <r>
      <rPr>
        <i val="true"/>
        <sz val="9"/>
        <color rgb="FF666666"/>
        <rFont val="Arial"/>
        <family val="0"/>
        <charset val="1"/>
      </rPr>
      <t xml:space="preserve">  YoY </t>
    </r>
    <r>
      <rPr>
        <i val="true"/>
        <sz val="9"/>
        <color rgb="FF666666"/>
        <rFont val="Noto Sans CJK SC"/>
        <family val="2"/>
      </rPr>
      <t xml:space="preserve">성장률</t>
    </r>
  </si>
  <si>
    <r>
      <rPr>
        <b val="true"/>
        <sz val="11"/>
        <color rgb="FF1A1A2E"/>
        <rFont val="Arial"/>
        <family val="0"/>
        <charset val="1"/>
      </rPr>
      <t xml:space="preserve">II. </t>
    </r>
    <r>
      <rPr>
        <b val="true"/>
        <sz val="11"/>
        <color rgb="FF1A1A2E"/>
        <rFont val="Noto Sans CJK SC"/>
        <family val="2"/>
      </rPr>
      <t xml:space="preserve">비용 구조</t>
    </r>
  </si>
  <si>
    <t xml:space="preserve">인건비 (총)</t>
  </si>
  <si>
    <t xml:space="preserve">퇴직/복리/상여</t>
  </si>
  <si>
    <t xml:space="preserve">경상연구개발비 (총)</t>
  </si>
  <si>
    <t xml:space="preserve">지급수수료</t>
  </si>
  <si>
    <t xml:space="preserve">기타 운영비</t>
  </si>
  <si>
    <t xml:space="preserve">판관비 (총)</t>
  </si>
  <si>
    <t xml:space="preserve">정부보조금 차감 (인건비+R&amp;D)</t>
  </si>
  <si>
    <t xml:space="preserve">판관비 (순)</t>
  </si>
  <si>
    <r>
      <rPr>
        <b val="true"/>
        <sz val="11"/>
        <color rgb="FF1A1A2E"/>
        <rFont val="Arial"/>
        <family val="0"/>
        <charset val="1"/>
      </rPr>
      <t xml:space="preserve">III. </t>
    </r>
    <r>
      <rPr>
        <b val="true"/>
        <sz val="11"/>
        <color rgb="FF1A1A2E"/>
        <rFont val="Noto Sans CJK SC"/>
        <family val="2"/>
      </rPr>
      <t xml:space="preserve">영업이익</t>
    </r>
    <r>
      <rPr>
        <b val="true"/>
        <sz val="11"/>
        <color rgb="FF1A1A2E"/>
        <rFont val="Arial"/>
        <family val="0"/>
        <charset val="1"/>
      </rPr>
      <t xml:space="preserve">(</t>
    </r>
    <r>
      <rPr>
        <b val="true"/>
        <sz val="11"/>
        <color rgb="FF1A1A2E"/>
        <rFont val="Noto Sans CJK SC"/>
        <family val="2"/>
      </rPr>
      <t xml:space="preserve">손실</t>
    </r>
    <r>
      <rPr>
        <b val="true"/>
        <sz val="11"/>
        <color rgb="FF1A1A2E"/>
        <rFont val="Arial"/>
        <family val="0"/>
        <charset val="1"/>
      </rPr>
      <t xml:space="preserve">)</t>
    </r>
  </si>
  <si>
    <t xml:space="preserve">  영업이익률</t>
  </si>
  <si>
    <r>
      <rPr>
        <b val="true"/>
        <sz val="11"/>
        <color rgb="FF1A1A2E"/>
        <rFont val="Arial"/>
        <family val="0"/>
        <charset val="1"/>
      </rPr>
      <t xml:space="preserve">IV. </t>
    </r>
    <r>
      <rPr>
        <b val="true"/>
        <sz val="11"/>
        <color rgb="FF1A1A2E"/>
        <rFont val="Noto Sans CJK SC"/>
        <family val="2"/>
      </rPr>
      <t xml:space="preserve">핵심 지표</t>
    </r>
  </si>
  <si>
    <t xml:space="preserve">인원 (명)</t>
  </si>
  <si>
    <t xml:space="preserve">인당 매출 (백만원)</t>
  </si>
  <si>
    <t xml:space="preserve">보조금/매출 비율</t>
  </si>
  <si>
    <t xml:space="preserve">매출총이익률</t>
  </si>
  <si>
    <r>
      <rPr>
        <b val="true"/>
        <sz val="11"/>
        <color rgb="FF1A1A2E"/>
        <rFont val="Arial"/>
        <family val="0"/>
        <charset val="1"/>
      </rPr>
      <t xml:space="preserve">V. </t>
    </r>
    <r>
      <rPr>
        <b val="true"/>
        <sz val="11"/>
        <color rgb="FF1A1A2E"/>
        <rFont val="Noto Sans CJK SC"/>
        <family val="2"/>
      </rPr>
      <t xml:space="preserve">핵심 마일스톤</t>
    </r>
  </si>
  <si>
    <t xml:space="preserve">2026</t>
  </si>
  <si>
    <t xml:space="preserve">영업 BEP 달성 | 육군 온프렘 납품 | KOLAS 인증기관 | 델라웨어 법인</t>
  </si>
  <si>
    <t xml:space="preserve">2027</t>
  </si>
  <si>
    <r>
      <rPr>
        <sz val="9"/>
        <color rgb="FF555555"/>
        <rFont val="Arial"/>
        <family val="0"/>
        <charset val="1"/>
      </rPr>
      <t xml:space="preserve">PebbloSim </t>
    </r>
    <r>
      <rPr>
        <sz val="9"/>
        <color rgb="FF555555"/>
        <rFont val="Noto Sans CJK SC"/>
        <family val="2"/>
      </rPr>
      <t xml:space="preserve">첫 상용 </t>
    </r>
    <r>
      <rPr>
        <sz val="9"/>
        <color rgb="FF555555"/>
        <rFont val="Arial"/>
        <family val="0"/>
        <charset val="1"/>
      </rPr>
      <t xml:space="preserve">| </t>
    </r>
    <r>
      <rPr>
        <sz val="9"/>
        <color rgb="FF555555"/>
        <rFont val="Noto Sans CJK SC"/>
        <family val="2"/>
      </rPr>
      <t xml:space="preserve">글로벌 </t>
    </r>
    <r>
      <rPr>
        <sz val="9"/>
        <color rgb="FF555555"/>
        <rFont val="Arial"/>
        <family val="0"/>
        <charset val="1"/>
      </rPr>
      <t xml:space="preserve">SaaS </t>
    </r>
    <r>
      <rPr>
        <sz val="9"/>
        <color rgb="FF555555"/>
        <rFont val="Noto Sans CJK SC"/>
        <family val="2"/>
      </rPr>
      <t xml:space="preserve">시작 </t>
    </r>
    <r>
      <rPr>
        <sz val="9"/>
        <color rgb="FF555555"/>
        <rFont val="Arial"/>
        <family val="0"/>
        <charset val="1"/>
      </rPr>
      <t xml:space="preserve">| </t>
    </r>
    <r>
      <rPr>
        <sz val="9"/>
        <color rgb="FF555555"/>
        <rFont val="Noto Sans CJK SC"/>
        <family val="2"/>
      </rPr>
      <t xml:space="preserve">삼각형 </t>
    </r>
    <r>
      <rPr>
        <sz val="9"/>
        <color rgb="FF555555"/>
        <rFont val="Arial"/>
        <family val="0"/>
        <charset val="1"/>
      </rPr>
      <t xml:space="preserve">3</t>
    </r>
    <r>
      <rPr>
        <sz val="9"/>
        <color rgb="FF555555"/>
        <rFont val="Noto Sans CJK SC"/>
        <family val="2"/>
      </rPr>
      <t xml:space="preserve">개</t>
    </r>
    <r>
      <rPr>
        <sz val="9"/>
        <color rgb="FF555555"/>
        <rFont val="Arial"/>
        <family val="0"/>
        <charset val="1"/>
      </rPr>
      <t xml:space="preserve">+ </t>
    </r>
    <r>
      <rPr>
        <sz val="9"/>
        <color rgb="FF555555"/>
        <rFont val="Noto Sans CJK SC"/>
        <family val="2"/>
      </rPr>
      <t xml:space="preserve">가동</t>
    </r>
  </si>
  <si>
    <t xml:space="preserve">2028</t>
  </si>
  <si>
    <t xml:space="preserve">매출 45억 | 유럽 첫 고객 | 데이터 플라이휠 가동</t>
  </si>
  <si>
    <t xml:space="preserve">2029</t>
  </si>
  <si>
    <t xml:space="preserve">매출 70억 | NVIDIA 파트너십 | 인당 매출 167백만</t>
  </si>
  <si>
    <t xml:space="preserve">2030</t>
  </si>
  <si>
    <t xml:space="preserve">매출 108억 | 영업이익 58억 | 글로벌 확장 본격화</t>
  </si>
  <si>
    <r>
      <rPr>
        <i val="true"/>
        <sz val="9"/>
        <color rgb="FF0000FF"/>
        <rFont val="Arial"/>
        <family val="0"/>
        <charset val="1"/>
      </rPr>
      <t xml:space="preserve">※ Blue = </t>
    </r>
    <r>
      <rPr>
        <i val="true"/>
        <sz val="9"/>
        <color rgb="FF0000FF"/>
        <rFont val="Noto Sans CJK SC"/>
        <family val="2"/>
      </rPr>
      <t xml:space="preserve">가정</t>
    </r>
    <r>
      <rPr>
        <i val="true"/>
        <sz val="9"/>
        <color rgb="FF0000FF"/>
        <rFont val="Arial"/>
        <family val="0"/>
        <charset val="1"/>
      </rPr>
      <t xml:space="preserve">(Assumption), </t>
    </r>
    <r>
      <rPr>
        <i val="true"/>
        <sz val="9"/>
        <color rgb="FF0000FF"/>
        <rFont val="Noto Sans CJK SC"/>
        <family val="2"/>
      </rPr>
      <t xml:space="preserve">수정 가능</t>
    </r>
  </si>
  <si>
    <t xml:space="preserve">※ 매출원가 0원 (GPM 100%) — 인건비는 판관비 계상</t>
  </si>
  <si>
    <t xml:space="preserve">※ 정부보조금은 매출이 아닌 비용단(인건비+R&amp;D)에서 차감</t>
  </si>
  <si>
    <t xml:space="preserve">시나리오 B: 투자 후 가속 성장 (브리지 20억 + 시리즈 A)</t>
  </si>
  <si>
    <t xml:space="preserve">단위: 백만원  |  2026 H1 브리지 20억 유치 → 2027 Q1 시리즈 A → 글로벌 스케일업</t>
  </si>
  <si>
    <r>
      <rPr>
        <sz val="10"/>
        <color rgb="FF000000"/>
        <rFont val="Arial"/>
        <family val="0"/>
        <charset val="1"/>
      </rPr>
      <t xml:space="preserve">E. </t>
    </r>
    <r>
      <rPr>
        <sz val="10"/>
        <color rgb="FF000000"/>
        <rFont val="Noto Sans CJK SC"/>
        <family val="2"/>
      </rPr>
      <t xml:space="preserve">글로벌 </t>
    </r>
    <r>
      <rPr>
        <sz val="10"/>
        <color rgb="FF000000"/>
        <rFont val="Arial"/>
        <family val="0"/>
        <charset val="1"/>
      </rPr>
      <t xml:space="preserve">SaaS/API (AWS+</t>
    </r>
    <r>
      <rPr>
        <sz val="10"/>
        <color rgb="FF000000"/>
        <rFont val="Noto Sans CJK SC"/>
        <family val="2"/>
      </rPr>
      <t xml:space="preserve">직판</t>
    </r>
    <r>
      <rPr>
        <sz val="10"/>
        <color rgb="FF000000"/>
        <rFont val="Arial"/>
        <family val="0"/>
        <charset val="1"/>
      </rPr>
      <t xml:space="preserve">)</t>
    </r>
  </si>
  <si>
    <t xml:space="preserve">기타 운영비 (글로벌 포함)</t>
  </si>
  <si>
    <t xml:space="preserve">2026 H1</t>
  </si>
  <si>
    <t xml:space="preserve">브리지 20억 유치 → 세일즈 4명+ 조기 채용, PebbloSim/SaaS 가속</t>
  </si>
  <si>
    <t xml:space="preserve">매출 15억 | 영업이익 2.5억 | AWS SaaS 런칭 | 인원 22명</t>
  </si>
  <si>
    <t xml:space="preserve">2027 Q1</t>
  </si>
  <si>
    <t xml:space="preserve">시리즈 A 유치 → 글로벌 팀 구축, PebbloSim 본격 상용화</t>
  </si>
  <si>
    <t xml:space="preserve">매출 39억 | PebbloSim 상용 3건+ | 글로벌 SaaS 5억</t>
  </si>
  <si>
    <t xml:space="preserve">매출 70억 | 유럽·미국 고객 확보 | 데이터 플라이휠 임계질량</t>
  </si>
  <si>
    <t xml:space="preserve">매출 115억 | NVIDIA 파트너십 | 인당 매출 198백만</t>
  </si>
  <si>
    <t xml:space="preserve">매출 175억+ | 영업이익 95억 | 유니콘 밸류에이션 궤적</t>
  </si>
  <si>
    <t xml:space="preserve">시나리오 비교: 투자가 만드는 차이</t>
  </si>
  <si>
    <t xml:space="preserve">동일 기술·시장 기반, 투자 유무에 따른 성장 속도 차이</t>
  </si>
  <si>
    <t xml:space="preserve">매출 — Base (자체)</t>
  </si>
  <si>
    <t xml:space="preserve">매출 — Accelerated (투자)</t>
  </si>
  <si>
    <t xml:space="preserve">투자 효과 (차이)</t>
  </si>
  <si>
    <t xml:space="preserve">영업이익 — Base</t>
  </si>
  <si>
    <t xml:space="preserve">영업이익 — Accelerated</t>
  </si>
  <si>
    <t xml:space="preserve">인원 — Base</t>
  </si>
  <si>
    <t xml:space="preserve">인원 — Accelerated</t>
  </si>
  <si>
    <t xml:space="preserve">인당 매출 — Base</t>
  </si>
  <si>
    <t xml:space="preserve">인당 매출 — Accelerated</t>
  </si>
  <si>
    <t xml:space="preserve">▎ 투자금 사용 계획 (브리지 20억)</t>
  </si>
  <si>
    <t xml:space="preserve">용도</t>
  </si>
  <si>
    <t xml:space="preserve">금액</t>
  </si>
  <si>
    <t xml:space="preserve">상세</t>
  </si>
  <si>
    <t xml:space="preserve">세일즈/BD/마케팅 (4명+ 채용 + 퍼널 구축)</t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</si>
  <si>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억</t>
    </r>
  </si>
  <si>
    <t xml:space="preserve">산업별 전문 세일즈 + 글로벌 BD + 마케팅/세일즈 퍼널 구축 + 전시회·컨퍼런스 등 이벤트</t>
  </si>
  <si>
    <r>
      <rPr>
        <sz val="10"/>
        <color rgb="FF000000"/>
        <rFont val="Arial"/>
        <family val="0"/>
        <charset val="1"/>
      </rPr>
      <t xml:space="preserve">PebbloSim </t>
    </r>
    <r>
      <rPr>
        <sz val="10"/>
        <color rgb="FF000000"/>
        <rFont val="Noto Sans CJK SC"/>
        <family val="2"/>
      </rPr>
      <t xml:space="preserve">개발 가속</t>
    </r>
  </si>
  <si>
    <r>
      <rPr>
        <sz val="10"/>
        <color rgb="FF0000FF"/>
        <rFont val="Arial"/>
        <family val="0"/>
        <charset val="1"/>
      </rPr>
      <t xml:space="preserve">5</t>
    </r>
    <r>
      <rPr>
        <sz val="10"/>
        <color rgb="FF0000FF"/>
        <rFont val="Noto Sans CJK SC"/>
        <family val="2"/>
      </rPr>
      <t xml:space="preserve">억</t>
    </r>
  </si>
  <si>
    <r>
      <rPr>
        <sz val="9"/>
        <color rgb="FF555555"/>
        <rFont val="Arial"/>
        <family val="0"/>
        <charset val="1"/>
      </rPr>
      <t xml:space="preserve">GPU </t>
    </r>
    <r>
      <rPr>
        <sz val="9"/>
        <color rgb="FF555555"/>
        <rFont val="Noto Sans CJK SC"/>
        <family val="2"/>
      </rPr>
      <t xml:space="preserve">인프라 </t>
    </r>
    <r>
      <rPr>
        <sz val="9"/>
        <color rgb="FF555555"/>
        <rFont val="Arial"/>
        <family val="0"/>
        <charset val="1"/>
      </rPr>
      <t xml:space="preserve">+ </t>
    </r>
    <r>
      <rPr>
        <sz val="9"/>
        <color rgb="FF555555"/>
        <rFont val="Noto Sans CJK SC"/>
        <family val="2"/>
      </rPr>
      <t xml:space="preserve">엔지니어 추가 채용</t>
    </r>
  </si>
  <si>
    <r>
      <rPr>
        <sz val="10"/>
        <color rgb="FF000000"/>
        <rFont val="Arial"/>
        <family val="0"/>
        <charset val="1"/>
      </rPr>
      <t xml:space="preserve">AWS SaaS </t>
    </r>
    <r>
      <rPr>
        <sz val="10"/>
        <color rgb="FF000000"/>
        <rFont val="Noto Sans CJK SC"/>
        <family val="2"/>
      </rPr>
      <t xml:space="preserve">글로벌 런칭</t>
    </r>
  </si>
  <si>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억</t>
    </r>
  </si>
  <si>
    <t xml:space="preserve">퍼블릭 오픈 + 마케팅 + 델라웨어 법인 운영</t>
  </si>
  <si>
    <t xml:space="preserve">인증 사업 구축 (KOLAS)</t>
  </si>
  <si>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억</t>
    </r>
  </si>
  <si>
    <t xml:space="preserve">인증 체계 구축 + 전문 인력</t>
  </si>
  <si>
    <t xml:space="preserve">운영 및 예비</t>
  </si>
  <si>
    <t xml:space="preserve">런웨이 확보</t>
  </si>
  <si>
    <t xml:space="preserve">▎ Core Unit Economics</t>
  </si>
  <si>
    <t xml:space="preserve">100%</t>
  </si>
  <si>
    <t xml:space="preserve">매출원가 0원 — 고정비 레버리지 구조</t>
  </si>
  <si>
    <r>
      <rPr>
        <sz val="10"/>
        <color rgb="FF000000"/>
        <rFont val="Arial"/>
        <family val="0"/>
        <charset val="1"/>
      </rPr>
      <t xml:space="preserve">DataClinic </t>
    </r>
    <r>
      <rPr>
        <sz val="10"/>
        <color rgb="FF000000"/>
        <rFont val="Noto Sans CJK SC"/>
        <family val="2"/>
      </rPr>
      <t xml:space="preserve">단가</t>
    </r>
  </si>
  <si>
    <r>
      <rPr>
        <sz val="10"/>
        <color rgb="FF0000FF"/>
        <rFont val="Arial"/>
        <family val="0"/>
        <charset val="1"/>
      </rPr>
      <t xml:space="preserve">30~50</t>
    </r>
    <r>
      <rPr>
        <sz val="10"/>
        <color rgb="FF0000FF"/>
        <rFont val="Noto Sans CJK SC"/>
        <family val="2"/>
      </rPr>
      <t xml:space="preserve">백만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건</t>
    </r>
  </si>
  <si>
    <t xml:space="preserve">데이터 품질 진단·개선</t>
  </si>
  <si>
    <t xml:space="preserve">합성데이터 단가</t>
  </si>
  <si>
    <r>
      <rPr>
        <sz val="10"/>
        <color rgb="FF0000FF"/>
        <rFont val="Arial"/>
        <family val="0"/>
        <charset val="1"/>
      </rPr>
      <t xml:space="preserve">50~100</t>
    </r>
    <r>
      <rPr>
        <sz val="10"/>
        <color rgb="FF0000FF"/>
        <rFont val="Noto Sans CJK SC"/>
        <family val="2"/>
      </rPr>
      <t xml:space="preserve">백만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건</t>
    </r>
  </si>
  <si>
    <t xml:space="preserve">현대차 등 대기업 반복 발주</t>
  </si>
  <si>
    <r>
      <rPr>
        <sz val="10"/>
        <color rgb="FF000000"/>
        <rFont val="Arial"/>
        <family val="0"/>
        <charset val="1"/>
      </rPr>
      <t xml:space="preserve">B2G </t>
    </r>
    <r>
      <rPr>
        <sz val="10"/>
        <color rgb="FF000000"/>
        <rFont val="Noto Sans CJK SC"/>
        <family val="2"/>
      </rPr>
      <t xml:space="preserve">납품 단가</t>
    </r>
  </si>
  <si>
    <r>
      <rPr>
        <sz val="10"/>
        <color rgb="FF0000FF"/>
        <rFont val="Arial"/>
        <family val="0"/>
        <charset val="1"/>
      </rPr>
      <t xml:space="preserve">50~150</t>
    </r>
    <r>
      <rPr>
        <sz val="10"/>
        <color rgb="FF0000FF"/>
        <rFont val="Noto Sans CJK SC"/>
        <family val="2"/>
      </rPr>
      <t xml:space="preserve">백만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건</t>
    </r>
  </si>
  <si>
    <t xml:space="preserve">조달청 + 국방 온프렘</t>
  </si>
  <si>
    <t xml:space="preserve">인증 수수료</t>
  </si>
  <si>
    <r>
      <rPr>
        <sz val="10"/>
        <color rgb="FF0000FF"/>
        <rFont val="Arial"/>
        <family val="0"/>
        <charset val="1"/>
      </rPr>
      <t xml:space="preserve">10~30</t>
    </r>
    <r>
      <rPr>
        <sz val="10"/>
        <color rgb="FF0000FF"/>
        <rFont val="Noto Sans CJK SC"/>
        <family val="2"/>
      </rPr>
      <t xml:space="preserve">백만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건</t>
    </r>
  </si>
  <si>
    <t xml:space="preserve">규제 강화 시 반복 수요</t>
  </si>
  <si>
    <t xml:space="preserve">고객획득비용 (CAC)</t>
  </si>
  <si>
    <t xml:space="preserve">사실상 0원</t>
  </si>
  <si>
    <t xml:space="preserve">정부과제 삼각형 모델</t>
  </si>
  <si>
    <t xml:space="preserve">데이터가공매출 성장 (25)</t>
  </si>
  <si>
    <t xml:space="preserve">+206%</t>
  </si>
  <si>
    <r>
      <rPr>
        <sz val="9"/>
        <color rgb="FF555555"/>
        <rFont val="Arial"/>
        <family val="0"/>
        <charset val="1"/>
      </rPr>
      <t xml:space="preserve">192 → 589</t>
    </r>
    <r>
      <rPr>
        <sz val="9"/>
        <color rgb="FF555555"/>
        <rFont val="Noto Sans CJK SC"/>
        <family val="2"/>
      </rPr>
      <t xml:space="preserve">백만</t>
    </r>
  </si>
  <si>
    <t xml:space="preserve">영업손실 감소 (25)</t>
  </si>
  <si>
    <t xml:space="preserve">-84.7%</t>
  </si>
  <si>
    <r>
      <rPr>
        <sz val="9"/>
        <color rgb="FF555555"/>
        <rFont val="Arial"/>
        <family val="0"/>
        <charset val="1"/>
      </rPr>
      <t xml:space="preserve">1,509 → 231</t>
    </r>
    <r>
      <rPr>
        <sz val="9"/>
        <color rgb="FF555555"/>
        <rFont val="Noto Sans CJK SC"/>
        <family val="2"/>
      </rPr>
      <t xml:space="preserve">백만</t>
    </r>
  </si>
  <si>
    <t xml:space="preserve">▎ 반복매출 전환 경로</t>
  </si>
  <si>
    <t xml:space="preserve">현재 (2025)</t>
  </si>
  <si>
    <t xml:space="preserve">프로젝트 기반</t>
  </si>
  <si>
    <t xml:space="preserve">동일 고객 반복 발주 → 사실상 리텐션</t>
  </si>
  <si>
    <r>
      <rPr>
        <sz val="10"/>
        <color rgb="FF0000FF"/>
        <rFont val="Arial"/>
        <family val="0"/>
        <charset val="1"/>
      </rPr>
      <t xml:space="preserve">B2G </t>
    </r>
    <r>
      <rPr>
        <sz val="10"/>
        <color rgb="FF0000FF"/>
        <rFont val="Noto Sans CJK SC"/>
        <family val="2"/>
      </rPr>
      <t xml:space="preserve">납품 </t>
    </r>
    <r>
      <rPr>
        <sz val="10"/>
        <color rgb="FF0000FF"/>
        <rFont val="Arial"/>
        <family val="0"/>
        <charset val="1"/>
      </rPr>
      <t xml:space="preserve">+ </t>
    </r>
    <r>
      <rPr>
        <sz val="10"/>
        <color rgb="FF0000FF"/>
        <rFont val="Noto Sans CJK SC"/>
        <family val="2"/>
      </rPr>
      <t xml:space="preserve">인증</t>
    </r>
  </si>
  <si>
    <t xml:space="preserve">조달청·국방 채널 + KOLAS → 구조적 반복</t>
  </si>
  <si>
    <t xml:space="preserve">2027~</t>
  </si>
  <si>
    <r>
      <rPr>
        <sz val="10"/>
        <color rgb="FF0000FF"/>
        <rFont val="Arial"/>
        <family val="0"/>
        <charset val="1"/>
      </rPr>
      <t xml:space="preserve">SaaS ARR </t>
    </r>
    <r>
      <rPr>
        <sz val="10"/>
        <color rgb="FF0000FF"/>
        <rFont val="Noto Sans CJK SC"/>
        <family val="2"/>
      </rPr>
      <t xml:space="preserve">시작</t>
    </r>
  </si>
  <si>
    <r>
      <rPr>
        <sz val="9"/>
        <color rgb="FF555555"/>
        <rFont val="Arial"/>
        <family val="0"/>
        <charset val="1"/>
      </rPr>
      <t xml:space="preserve">AWS Marketplace </t>
    </r>
    <r>
      <rPr>
        <sz val="9"/>
        <color rgb="FF555555"/>
        <rFont val="Noto Sans CJK SC"/>
        <family val="2"/>
      </rPr>
      <t xml:space="preserve">퍼블릭 → 구독 모델</t>
    </r>
  </si>
  <si>
    <t xml:space="preserve">2028~</t>
  </si>
  <si>
    <r>
      <rPr>
        <sz val="10"/>
        <color rgb="FF0000FF"/>
        <rFont val="Arial"/>
        <family val="0"/>
        <charset val="1"/>
      </rPr>
      <t xml:space="preserve">Data Greenhouse </t>
    </r>
    <r>
      <rPr>
        <sz val="10"/>
        <color rgb="FF0000FF"/>
        <rFont val="Noto Sans CJK SC"/>
        <family val="2"/>
      </rPr>
      <t xml:space="preserve">록인</t>
    </r>
  </si>
  <si>
    <t xml:space="preserve">데이터 OS 임베딩 → 플랫폼 전환비용</t>
  </si>
  <si>
    <t xml:space="preserve">▎ 투자 논거 요약</t>
  </si>
  <si>
    <r>
      <rPr>
        <sz val="10"/>
        <color rgb="FF1A1A2E"/>
        <rFont val="Arial"/>
        <family val="0"/>
        <charset val="1"/>
      </rPr>
      <t xml:space="preserve">1. 180</t>
    </r>
    <r>
      <rPr>
        <sz val="10"/>
        <color rgb="FF1A1A2E"/>
        <rFont val="Noto Sans CJK SC"/>
        <family val="2"/>
      </rPr>
      <t xml:space="preserve">억 프리 </t>
    </r>
    <r>
      <rPr>
        <sz val="10"/>
        <color rgb="FF1A1A2E"/>
        <rFont val="Arial"/>
        <family val="0"/>
        <charset val="1"/>
      </rPr>
      <t xml:space="preserve">/ 20</t>
    </r>
    <r>
      <rPr>
        <sz val="10"/>
        <color rgb="FF1A1A2E"/>
        <rFont val="Noto Sans CJK SC"/>
        <family val="2"/>
      </rPr>
      <t xml:space="preserve">억 브리지 → 시리즈 </t>
    </r>
    <r>
      <rPr>
        <sz val="10"/>
        <color rgb="FF1A1A2E"/>
        <rFont val="Arial"/>
        <family val="0"/>
        <charset val="1"/>
      </rPr>
      <t xml:space="preserve">A </t>
    </r>
    <r>
      <rPr>
        <sz val="10"/>
        <color rgb="FF1A1A2E"/>
        <rFont val="Noto Sans CJK SC"/>
        <family val="2"/>
      </rPr>
      <t xml:space="preserve">직전의 최적 진입점</t>
    </r>
  </si>
  <si>
    <r>
      <rPr>
        <sz val="10"/>
        <color rgb="FF1A1A2E"/>
        <rFont val="Arial"/>
        <family val="0"/>
        <charset val="1"/>
      </rPr>
      <t xml:space="preserve">2. </t>
    </r>
    <r>
      <rPr>
        <sz val="10"/>
        <color rgb="FF1A1A2E"/>
        <rFont val="Noto Sans CJK SC"/>
        <family val="2"/>
      </rPr>
      <t xml:space="preserve">자체적으로 </t>
    </r>
    <r>
      <rPr>
        <sz val="10"/>
        <color rgb="FF1A1A2E"/>
        <rFont val="Arial"/>
        <family val="0"/>
        <charset val="1"/>
      </rPr>
      <t xml:space="preserve">BEP </t>
    </r>
    <r>
      <rPr>
        <sz val="10"/>
        <color rgb="FF1A1A2E"/>
        <rFont val="Noto Sans CJK SC"/>
        <family val="2"/>
      </rPr>
      <t xml:space="preserve">달성 가능한 팀 — 투자는 </t>
    </r>
    <r>
      <rPr>
        <sz val="10"/>
        <color rgb="FF1A1A2E"/>
        <rFont val="Arial"/>
        <family val="0"/>
        <charset val="1"/>
      </rPr>
      <t xml:space="preserve">"</t>
    </r>
    <r>
      <rPr>
        <sz val="10"/>
        <color rgb="FF1A1A2E"/>
        <rFont val="Noto Sans CJK SC"/>
        <family val="2"/>
      </rPr>
      <t xml:space="preserve">생존</t>
    </r>
    <r>
      <rPr>
        <sz val="10"/>
        <color rgb="FF1A1A2E"/>
        <rFont val="Arial"/>
        <family val="0"/>
        <charset val="1"/>
      </rPr>
      <t xml:space="preserve">"</t>
    </r>
    <r>
      <rPr>
        <sz val="10"/>
        <color rgb="FF1A1A2E"/>
        <rFont val="Noto Sans CJK SC"/>
        <family val="2"/>
      </rPr>
      <t xml:space="preserve">이 아닌 </t>
    </r>
    <r>
      <rPr>
        <sz val="10"/>
        <color rgb="FF1A1A2E"/>
        <rFont val="Arial"/>
        <family val="0"/>
        <charset val="1"/>
      </rPr>
      <t xml:space="preserve">"</t>
    </r>
    <r>
      <rPr>
        <sz val="10"/>
        <color rgb="FF1A1A2E"/>
        <rFont val="Noto Sans CJK SC"/>
        <family val="2"/>
      </rPr>
      <t xml:space="preserve">가속</t>
    </r>
    <r>
      <rPr>
        <sz val="10"/>
        <color rgb="FF1A1A2E"/>
        <rFont val="Arial"/>
        <family val="0"/>
        <charset val="1"/>
      </rPr>
      <t xml:space="preserve">"</t>
    </r>
  </si>
  <si>
    <r>
      <rPr>
        <sz val="10"/>
        <color rgb="FF1A1A2E"/>
        <rFont val="Arial"/>
        <family val="0"/>
        <charset val="1"/>
      </rPr>
      <t xml:space="preserve">3. </t>
    </r>
    <r>
      <rPr>
        <sz val="10"/>
        <color rgb="FF1A1A2E"/>
        <rFont val="Noto Sans CJK SC"/>
        <family val="2"/>
      </rPr>
      <t xml:space="preserve">정부 </t>
    </r>
    <r>
      <rPr>
        <sz val="10"/>
        <color rgb="FF1A1A2E"/>
        <rFont val="Arial"/>
        <family val="0"/>
        <charset val="1"/>
      </rPr>
      <t xml:space="preserve">17</t>
    </r>
    <r>
      <rPr>
        <sz val="10"/>
        <color rgb="FF1A1A2E"/>
        <rFont val="Noto Sans CJK SC"/>
        <family val="2"/>
      </rPr>
      <t xml:space="preserve">억 보조금이 비용단을 흡수하는 동안 상용매출 독립 성장</t>
    </r>
  </si>
  <si>
    <r>
      <rPr>
        <sz val="10"/>
        <color rgb="FF1A1A2E"/>
        <rFont val="Arial"/>
        <family val="0"/>
        <charset val="1"/>
      </rPr>
      <t xml:space="preserve">4. CAC ≈ 0</t>
    </r>
    <r>
      <rPr>
        <sz val="10"/>
        <color rgb="FF1A1A2E"/>
        <rFont val="Noto Sans CJK SC"/>
        <family val="2"/>
      </rPr>
      <t xml:space="preserve">원의 삼각형 모델로 자동차</t>
    </r>
    <r>
      <rPr>
        <sz val="10"/>
        <color rgb="FF1A1A2E"/>
        <rFont val="Arial"/>
        <family val="0"/>
        <charset val="1"/>
      </rPr>
      <t xml:space="preserve">·</t>
    </r>
    <r>
      <rPr>
        <sz val="10"/>
        <color rgb="FF1A1A2E"/>
        <rFont val="Noto Sans CJK SC"/>
        <family val="2"/>
      </rPr>
      <t xml:space="preserve">국방</t>
    </r>
    <r>
      <rPr>
        <sz val="10"/>
        <color rgb="FF1A1A2E"/>
        <rFont val="Arial"/>
        <family val="0"/>
        <charset val="1"/>
      </rPr>
      <t xml:space="preserve">·</t>
    </r>
    <r>
      <rPr>
        <sz val="10"/>
        <color rgb="FF1A1A2E"/>
        <rFont val="Noto Sans CJK SC"/>
        <family val="2"/>
      </rPr>
      <t xml:space="preserve">조선 파이프라인 확보</t>
    </r>
  </si>
  <si>
    <r>
      <rPr>
        <sz val="10"/>
        <color rgb="FF1A1A2E"/>
        <rFont val="Arial"/>
        <family val="0"/>
        <charset val="1"/>
      </rPr>
      <t xml:space="preserve">5. EU AI Act (2026.8) + AI </t>
    </r>
    <r>
      <rPr>
        <sz val="10"/>
        <color rgb="FF1A1A2E"/>
        <rFont val="Noto Sans CJK SC"/>
        <family val="2"/>
      </rPr>
      <t xml:space="preserve">기본법 </t>
    </r>
    <r>
      <rPr>
        <sz val="10"/>
        <color rgb="FF1A1A2E"/>
        <rFont val="Arial"/>
        <family val="0"/>
        <charset val="1"/>
      </rPr>
      <t xml:space="preserve">(2026.1) </t>
    </r>
    <r>
      <rPr>
        <sz val="10"/>
        <color rgb="FF1A1A2E"/>
        <rFont val="Noto Sans CJK SC"/>
        <family val="2"/>
      </rPr>
      <t xml:space="preserve">규제 윈도우 — 지금이 선점 적기</t>
    </r>
  </si>
  <si>
    <r>
      <rPr>
        <sz val="10"/>
        <color rgb="FF1A1A2E"/>
        <rFont val="Arial"/>
        <family val="0"/>
        <charset val="1"/>
      </rPr>
      <t xml:space="preserve">8. 2030</t>
    </r>
    <r>
      <rPr>
        <sz val="10"/>
        <color rgb="FF1A1A2E"/>
        <rFont val="Noto Sans CJK SC"/>
        <family val="2"/>
      </rPr>
      <t xml:space="preserve">년 매출 </t>
    </r>
    <r>
      <rPr>
        <sz val="10"/>
        <color rgb="FF1A1A2E"/>
        <rFont val="Arial"/>
        <family val="0"/>
        <charset val="1"/>
      </rPr>
      <t xml:space="preserve">237</t>
    </r>
    <r>
      <rPr>
        <sz val="10"/>
        <color rgb="FF1A1A2E"/>
        <rFont val="Noto Sans CJK SC"/>
        <family val="2"/>
      </rPr>
      <t xml:space="preserve">억</t>
    </r>
    <r>
      <rPr>
        <sz val="10"/>
        <color rgb="FF1A1A2E"/>
        <rFont val="Arial"/>
        <family val="0"/>
        <charset val="1"/>
      </rPr>
      <t xml:space="preserve">+, </t>
    </r>
    <r>
      <rPr>
        <sz val="10"/>
        <color rgb="FF1A1A2E"/>
        <rFont val="Noto Sans CJK SC"/>
        <family val="2"/>
      </rPr>
      <t xml:space="preserve">영업이익 </t>
    </r>
    <r>
      <rPr>
        <sz val="10"/>
        <color rgb="FF1A1A2E"/>
        <rFont val="Arial"/>
        <family val="0"/>
        <charset val="1"/>
      </rPr>
      <t xml:space="preserve">130</t>
    </r>
    <r>
      <rPr>
        <sz val="10"/>
        <color rgb="FF1A1A2E"/>
        <rFont val="Noto Sans CJK SC"/>
        <family val="2"/>
      </rPr>
      <t xml:space="preserve">억</t>
    </r>
    <r>
      <rPr>
        <sz val="10"/>
        <color rgb="FF1A1A2E"/>
        <rFont val="Arial"/>
        <family val="0"/>
        <charset val="1"/>
      </rPr>
      <t xml:space="preserve">+ → AI Infra </t>
    </r>
    <r>
      <rPr>
        <sz val="10"/>
        <color rgb="FF1A1A2E"/>
        <rFont val="Noto Sans CJK SC"/>
        <family val="2"/>
      </rPr>
      <t xml:space="preserve">유니콘 </t>
    </r>
    <r>
      <rPr>
        <sz val="10"/>
        <color rgb="FF1A1A2E"/>
        <rFont val="Arial"/>
        <family val="0"/>
        <charset val="1"/>
      </rPr>
      <t xml:space="preserve">+ </t>
    </r>
    <r>
      <rPr>
        <sz val="10"/>
        <color rgb="FF1A1A2E"/>
        <rFont val="Noto Sans CJK SC"/>
        <family val="2"/>
      </rPr>
      <t xml:space="preserve">기술특례 상장 궤적</t>
    </r>
  </si>
  <si>
    <r>
      <rPr>
        <b val="true"/>
        <sz val="11"/>
        <color rgb="FF1A1A2E"/>
        <rFont val="Arial"/>
        <family val="0"/>
        <charset val="1"/>
      </rPr>
      <t xml:space="preserve">▎ 2026</t>
    </r>
    <r>
      <rPr>
        <b val="true"/>
        <sz val="11"/>
        <color rgb="FF1A1A2E"/>
        <rFont val="Noto Sans CJK SC"/>
        <family val="2"/>
      </rPr>
      <t xml:space="preserve">년 확정</t>
    </r>
    <r>
      <rPr>
        <b val="true"/>
        <sz val="11"/>
        <color rgb="FF1A1A2E"/>
        <rFont val="Arial"/>
        <family val="0"/>
        <charset val="1"/>
      </rPr>
      <t xml:space="preserve">·</t>
    </r>
    <r>
      <rPr>
        <b val="true"/>
        <sz val="11"/>
        <color rgb="FF1A1A2E"/>
        <rFont val="Noto Sans CJK SC"/>
        <family val="2"/>
      </rPr>
      <t xml:space="preserve">예정 파이프라인 </t>
    </r>
    <r>
      <rPr>
        <b val="true"/>
        <sz val="11"/>
        <color rgb="FF1A1A2E"/>
        <rFont val="Arial"/>
        <family val="0"/>
        <charset val="1"/>
      </rPr>
      <t xml:space="preserve">(32.3</t>
    </r>
    <r>
      <rPr>
        <b val="true"/>
        <sz val="11"/>
        <color rgb="FF1A1A2E"/>
        <rFont val="Noto Sans CJK SC"/>
        <family val="2"/>
      </rPr>
      <t xml:space="preserve">억</t>
    </r>
    <r>
      <rPr>
        <b val="true"/>
        <sz val="11"/>
        <color rgb="FF1A1A2E"/>
        <rFont val="Arial"/>
        <family val="0"/>
        <charset val="1"/>
      </rPr>
      <t xml:space="preserve">)</t>
    </r>
  </si>
  <si>
    <t xml:space="preserve">구분</t>
  </si>
  <si>
    <t xml:space="preserve">확정 — 정부과제</t>
  </si>
  <si>
    <r>
      <rPr>
        <sz val="10"/>
        <color rgb="FF0000FF"/>
        <rFont val="Arial"/>
        <family val="0"/>
        <charset val="1"/>
      </rPr>
      <t xml:space="preserve">19</t>
    </r>
    <r>
      <rPr>
        <sz val="10"/>
        <color rgb="FF0000FF"/>
        <rFont val="Noto Sans CJK SC"/>
        <family val="2"/>
      </rPr>
      <t xml:space="preserve">억</t>
    </r>
  </si>
  <si>
    <r>
      <rPr>
        <sz val="9"/>
        <color rgb="FF555555"/>
        <rFont val="Arial"/>
        <family val="0"/>
        <charset val="1"/>
      </rPr>
      <t xml:space="preserve">AADS 17</t>
    </r>
    <r>
      <rPr>
        <sz val="9"/>
        <color rgb="FF555555"/>
        <rFont val="Noto Sans CJK SC"/>
        <family val="2"/>
      </rPr>
      <t xml:space="preserve">억 </t>
    </r>
    <r>
      <rPr>
        <sz val="9"/>
        <color rgb="FF555555"/>
        <rFont val="Arial"/>
        <family val="0"/>
        <charset val="1"/>
      </rPr>
      <t xml:space="preserve">+ </t>
    </r>
    <r>
      <rPr>
        <sz val="9"/>
        <color rgb="FF555555"/>
        <rFont val="Noto Sans CJK SC"/>
        <family val="2"/>
      </rPr>
      <t xml:space="preserve">예외상황 합성데이터 </t>
    </r>
    <r>
      <rPr>
        <sz val="9"/>
        <color rgb="FF555555"/>
        <rFont val="Arial"/>
        <family val="0"/>
        <charset val="1"/>
      </rPr>
      <t xml:space="preserve">2</t>
    </r>
    <r>
      <rPr>
        <sz val="9"/>
        <color rgb="FF555555"/>
        <rFont val="Noto Sans CJK SC"/>
        <family val="2"/>
      </rPr>
      <t xml:space="preserve">억</t>
    </r>
  </si>
  <si>
    <t xml:space="preserve">확정 — LG유플러스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</si>
  <si>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억</t>
    </r>
  </si>
  <si>
    <r>
      <rPr>
        <sz val="9"/>
        <color rgb="FF555555"/>
        <rFont val="Arial"/>
        <family val="0"/>
        <charset val="1"/>
      </rPr>
      <t xml:space="preserve">Shift OI: 4</t>
    </r>
    <r>
      <rPr>
        <sz val="9"/>
        <color rgb="FF555555"/>
        <rFont val="Noto Sans CJK SC"/>
        <family val="2"/>
      </rPr>
      <t xml:space="preserve">개 팀 데이터 품질평가 </t>
    </r>
    <r>
      <rPr>
        <sz val="9"/>
        <color rgb="FF555555"/>
        <rFont val="Arial"/>
        <family val="0"/>
        <charset val="1"/>
      </rPr>
      <t xml:space="preserve">+ </t>
    </r>
    <r>
      <rPr>
        <sz val="9"/>
        <color rgb="FF555555"/>
        <rFont val="Noto Sans CJK SC"/>
        <family val="2"/>
      </rPr>
      <t xml:space="preserve">합성데이터</t>
    </r>
  </si>
  <si>
    <t xml:space="preserve">확정 — 조달청</t>
  </si>
  <si>
    <r>
      <rPr>
        <sz val="10"/>
        <color rgb="FF0000FF"/>
        <rFont val="Arial"/>
        <family val="0"/>
        <charset val="1"/>
      </rPr>
      <t xml:space="preserve">1.5</t>
    </r>
    <r>
      <rPr>
        <sz val="10"/>
        <color rgb="FF0000FF"/>
        <rFont val="Noto Sans CJK SC"/>
        <family val="2"/>
      </rPr>
      <t xml:space="preserve">억</t>
    </r>
  </si>
  <si>
    <t xml:space="preserve">혁신제품 납품: 국방부 기품원, 육군 시험평가단, DIP</t>
  </si>
  <si>
    <t xml:space="preserve">확정 — 서울대병원</t>
  </si>
  <si>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Noto Sans CJK SC"/>
        <family val="2"/>
      </rPr>
      <t xml:space="preserve">억</t>
    </r>
  </si>
  <si>
    <t xml:space="preserve">의료 AI 데이터 품질평가 + 합성데이터</t>
  </si>
  <si>
    <t xml:space="preserve">예정 — 피지컬AI 실증</t>
  </si>
  <si>
    <t xml:space="preserve">전북대/KAIST 컨소시엄, 현대차 데이터 파이프라인</t>
  </si>
  <si>
    <t xml:space="preserve">예정 — 육군 온프렘</t>
  </si>
  <si>
    <r>
      <rPr>
        <sz val="10"/>
        <color rgb="FF0000FF"/>
        <rFont val="Arial"/>
        <family val="0"/>
        <charset val="1"/>
      </rPr>
      <t xml:space="preserve">2.5</t>
    </r>
    <r>
      <rPr>
        <sz val="10"/>
        <color rgb="FF0000FF"/>
        <rFont val="Noto Sans CJK SC"/>
        <family val="2"/>
      </rPr>
      <t xml:space="preserve">억</t>
    </r>
  </si>
  <si>
    <t xml:space="preserve">데이터클리닉 온프레미스 구축</t>
  </si>
  <si>
    <t xml:space="preserve">예정 — 자원재활용</t>
  </si>
  <si>
    <t xml:space="preserve">폐플라스틱 합성데이터 + 모델 개발</t>
  </si>
  <si>
    <t xml:space="preserve">예정 — 에너지연</t>
  </si>
  <si>
    <t xml:space="preserve">에너지 절감 에이전트 개발</t>
  </si>
  <si>
    <t xml:space="preserve">예정 — 조달청 추가</t>
  </si>
  <si>
    <t xml:space="preserve">데이터클리닉 혁신제품 추가 납품</t>
  </si>
  <si>
    <t xml:space="preserve">예정 — DIP 대구</t>
  </si>
  <si>
    <r>
      <rPr>
        <sz val="10"/>
        <color rgb="FF0000FF"/>
        <rFont val="Arial"/>
        <family val="0"/>
        <charset val="1"/>
      </rPr>
      <t xml:space="preserve">0.7</t>
    </r>
    <r>
      <rPr>
        <sz val="10"/>
        <color rgb="FF0000FF"/>
        <rFont val="Noto Sans CJK SC"/>
        <family val="2"/>
      </rPr>
      <t xml:space="preserve">억</t>
    </r>
  </si>
  <si>
    <t xml:space="preserve">제조기업 품질평가 + 합성데이터</t>
  </si>
  <si>
    <t xml:space="preserve">합계</t>
  </si>
  <si>
    <r>
      <rPr>
        <b val="true"/>
        <sz val="10"/>
        <color rgb="FF0000FF"/>
        <rFont val="Arial"/>
        <family val="0"/>
        <charset val="1"/>
      </rPr>
      <t xml:space="preserve">32.3</t>
    </r>
    <r>
      <rPr>
        <b val="true"/>
        <sz val="10"/>
        <color rgb="FF0000FF"/>
        <rFont val="Noto Sans CJK SC"/>
        <family val="2"/>
      </rPr>
      <t xml:space="preserve">억</t>
    </r>
  </si>
  <si>
    <t xml:space="preserve">확정 22억 + 예정 10.3억 → 매출 목표 11~15억 달성 근거</t>
  </si>
  <si>
    <t xml:space="preserve">▎ TAM (Total Addressable Market)</t>
  </si>
  <si>
    <t xml:space="preserve">데이터 관리 소프트웨어</t>
  </si>
  <si>
    <r>
      <rPr>
        <sz val="10"/>
        <color rgb="FF0000FF"/>
        <rFont val="Arial"/>
        <family val="0"/>
        <charset val="1"/>
      </rPr>
      <t xml:space="preserve">$155.6B (215</t>
    </r>
    <r>
      <rPr>
        <sz val="10"/>
        <color rgb="FF0000FF"/>
        <rFont val="Noto Sans CJK SC"/>
        <family val="2"/>
      </rPr>
      <t xml:space="preserve">조원</t>
    </r>
    <r>
      <rPr>
        <sz val="10"/>
        <color rgb="FF0000FF"/>
        <rFont val="Arial"/>
        <family val="0"/>
        <charset val="1"/>
      </rPr>
      <t xml:space="preserve">, 2030)</t>
    </r>
  </si>
  <si>
    <t xml:space="preserve">PitchBook 2026 AI Outlook</t>
  </si>
  <si>
    <t xml:space="preserve">디지털 트윈</t>
  </si>
  <si>
    <t xml:space="preserve">$1,220~1,500B (2030)</t>
  </si>
  <si>
    <t xml:space="preserve">MarketsandMarkets, CAGR 35~48%</t>
  </si>
  <si>
    <t xml:space="preserve">피지컬 AI</t>
  </si>
  <si>
    <t xml:space="preserve">$500~840B (2033~35)</t>
  </si>
  <si>
    <t xml:space="preserve">Cervicorn/SNS/Acumen, CAGR 31~34%</t>
  </si>
  <si>
    <r>
      <rPr>
        <sz val="10"/>
        <color rgb="FF000000"/>
        <rFont val="Arial"/>
        <family val="0"/>
        <charset val="1"/>
      </rPr>
      <t xml:space="preserve">DT×</t>
    </r>
    <r>
      <rPr>
        <sz val="10"/>
        <color rgb="FF000000"/>
        <rFont val="Noto Sans CJK SC"/>
        <family val="2"/>
      </rPr>
      <t xml:space="preserve">피지컬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교차 영역</t>
    </r>
  </si>
  <si>
    <t xml:space="preserve">$200~400B (2030)</t>
  </si>
  <si>
    <t xml:space="preserve">품질 레이어 글로벌 부재 → 페블러스 기회</t>
  </si>
  <si>
    <t xml:space="preserve">한국 범정부 AI 예산</t>
  </si>
  <si>
    <t xml:space="preserve">약 10조원 (2026)</t>
  </si>
  <si>
    <t xml:space="preserve">피지컬AI 4,022억 + 국방 1,000억 포함</t>
  </si>
  <si>
    <t xml:space="preserve">▎ 제3자 검증 (Third-Party Validation)</t>
  </si>
  <si>
    <t xml:space="preserve">가트너 (Gartner)</t>
  </si>
  <si>
    <t xml:space="preserve">진단-합성 Paired 모델 대표 사례</t>
  </si>
  <si>
    <r>
      <rPr>
        <sz val="9"/>
        <color rgb="FF555555"/>
        <rFont val="Arial"/>
        <family val="0"/>
        <charset val="1"/>
      </rPr>
      <t xml:space="preserve">AskGartner AI</t>
    </r>
    <r>
      <rPr>
        <sz val="9"/>
        <color rgb="FF555555"/>
        <rFont val="Noto Sans CJK SC"/>
        <family val="2"/>
      </rPr>
      <t xml:space="preserve">가 페블러스를 명시적 언급</t>
    </r>
  </si>
  <si>
    <t xml:space="preserve">PitchBook</t>
  </si>
  <si>
    <r>
      <rPr>
        <sz val="10"/>
        <color rgb="FF0000FF"/>
        <rFont val="Arial"/>
        <family val="0"/>
        <charset val="1"/>
      </rPr>
      <t xml:space="preserve">AI </t>
    </r>
    <r>
      <rPr>
        <sz val="10"/>
        <color rgb="FF0000FF"/>
        <rFont val="Noto Sans CJK SC"/>
        <family val="2"/>
      </rPr>
      <t xml:space="preserve">승자 </t>
    </r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대 조건 중 </t>
    </r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개 최고 부합</t>
    </r>
  </si>
  <si>
    <r>
      <rPr>
        <sz val="9"/>
        <color rgb="FF555555"/>
        <rFont val="Arial"/>
        <family val="0"/>
        <charset val="1"/>
      </rPr>
      <t xml:space="preserve">2026 AI Outlook </t>
    </r>
    <r>
      <rPr>
        <sz val="9"/>
        <color rgb="FF555555"/>
        <rFont val="Noto Sans CJK SC"/>
        <family val="2"/>
      </rPr>
      <t xml:space="preserve">프레임워크 적용</t>
    </r>
  </si>
  <si>
    <t xml:space="preserve">조달청</t>
  </si>
  <si>
    <t xml:space="preserve">혁신제품 지정</t>
  </si>
  <si>
    <t xml:space="preserve">국방부·육군 납품 공식 자격</t>
  </si>
  <si>
    <t xml:space="preserve">과기정통부</t>
  </si>
  <si>
    <t xml:space="preserve">글로벌 빅테크 육성 주관기관</t>
  </si>
  <si>
    <r>
      <rPr>
        <sz val="9"/>
        <color rgb="FF555555"/>
        <rFont val="Arial"/>
        <family val="0"/>
        <charset val="1"/>
      </rPr>
      <t xml:space="preserve">3</t>
    </r>
    <r>
      <rPr>
        <sz val="9"/>
        <color rgb="FF555555"/>
        <rFont val="Noto Sans CJK SC"/>
        <family val="2"/>
      </rPr>
      <t xml:space="preserve">년 </t>
    </r>
    <r>
      <rPr>
        <sz val="9"/>
        <color rgb="FF555555"/>
        <rFont val="Arial"/>
        <family val="0"/>
        <charset val="1"/>
      </rPr>
      <t xml:space="preserve">60</t>
    </r>
    <r>
      <rPr>
        <sz val="9"/>
        <color rgb="FF555555"/>
        <rFont val="Noto Sans CJK SC"/>
        <family val="2"/>
      </rPr>
      <t xml:space="preserve">억</t>
    </r>
    <r>
      <rPr>
        <sz val="9"/>
        <color rgb="FF555555"/>
        <rFont val="Arial"/>
        <family val="0"/>
        <charset val="1"/>
      </rPr>
      <t xml:space="preserve">(</t>
    </r>
    <r>
      <rPr>
        <sz val="9"/>
        <color rgb="FF555555"/>
        <rFont val="Noto Sans CJK SC"/>
        <family val="2"/>
      </rPr>
      <t xml:space="preserve">연 </t>
    </r>
    <r>
      <rPr>
        <sz val="9"/>
        <color rgb="FF555555"/>
        <rFont val="Arial"/>
        <family val="0"/>
        <charset val="1"/>
      </rPr>
      <t xml:space="preserve">17</t>
    </r>
    <r>
      <rPr>
        <sz val="9"/>
        <color rgb="FF555555"/>
        <rFont val="Noto Sans CJK SC"/>
        <family val="2"/>
      </rPr>
      <t xml:space="preserve">억</t>
    </r>
    <r>
      <rPr>
        <sz val="9"/>
        <color rgb="FF555555"/>
        <rFont val="Arial"/>
        <family val="0"/>
        <charset val="1"/>
      </rPr>
      <t xml:space="preserve">+) </t>
    </r>
    <r>
      <rPr>
        <sz val="9"/>
        <color rgb="FF555555"/>
        <rFont val="Noto Sans CJK SC"/>
        <family val="2"/>
      </rPr>
      <t xml:space="preserve">확보</t>
    </r>
  </si>
  <si>
    <t xml:space="preserve">현대차 제로원</t>
  </si>
  <si>
    <t xml:space="preserve">투자 확정 (180억 프리)</t>
  </si>
  <si>
    <t xml:space="preserve">모빌리티 시장 진입 + 전략적 파트너십</t>
  </si>
  <si>
    <t xml:space="preserve">KISTI</t>
  </si>
  <si>
    <t xml:space="preserve">전략적 파트너십</t>
  </si>
  <si>
    <t xml:space="preserve">국산 KONI LLM/VLM 채택 → 소버린 AI 경쟁력</t>
  </si>
  <si>
    <t xml:space="preserve">▎ 투자 논거 요약 (Updated)</t>
  </si>
  <si>
    <r>
      <rPr>
        <sz val="10"/>
        <color rgb="FF1A1A2E"/>
        <rFont val="Arial"/>
        <family val="0"/>
        <charset val="1"/>
      </rPr>
      <t xml:space="preserve">1. 180</t>
    </r>
    <r>
      <rPr>
        <sz val="10"/>
        <color rgb="FF1A1A2E"/>
        <rFont val="Noto Sans CJK SC"/>
        <family val="2"/>
      </rPr>
      <t xml:space="preserve">억 프리 </t>
    </r>
    <r>
      <rPr>
        <sz val="10"/>
        <color rgb="FF1A1A2E"/>
        <rFont val="Arial"/>
        <family val="0"/>
        <charset val="1"/>
      </rPr>
      <t xml:space="preserve">/ 20</t>
    </r>
    <r>
      <rPr>
        <sz val="10"/>
        <color rgb="FF1A1A2E"/>
        <rFont val="Noto Sans CJK SC"/>
        <family val="2"/>
      </rPr>
      <t xml:space="preserve">억 브리지 — 현대차 제로원 동일 밸류 투자 확정</t>
    </r>
  </si>
  <si>
    <r>
      <rPr>
        <sz val="10"/>
        <color rgb="FF1A1A2E"/>
        <rFont val="Arial"/>
        <family val="0"/>
        <charset val="1"/>
      </rPr>
      <t xml:space="preserve">2. 32.3</t>
    </r>
    <r>
      <rPr>
        <sz val="10"/>
        <color rgb="FF1A1A2E"/>
        <rFont val="Noto Sans CJK SC"/>
        <family val="2"/>
      </rPr>
      <t xml:space="preserve">억 파이프라인 확보 → </t>
    </r>
    <r>
      <rPr>
        <sz val="10"/>
        <color rgb="FF1A1A2E"/>
        <rFont val="Arial"/>
        <family val="0"/>
        <charset val="1"/>
      </rPr>
      <t xml:space="preserve">2026 </t>
    </r>
    <r>
      <rPr>
        <sz val="10"/>
        <color rgb="FF1A1A2E"/>
        <rFont val="Noto Sans CJK SC"/>
        <family val="2"/>
      </rPr>
      <t xml:space="preserve">매출 </t>
    </r>
    <r>
      <rPr>
        <sz val="10"/>
        <color rgb="FF1A1A2E"/>
        <rFont val="Arial"/>
        <family val="0"/>
        <charset val="1"/>
      </rPr>
      <t xml:space="preserve">11~15</t>
    </r>
    <r>
      <rPr>
        <sz val="10"/>
        <color rgb="FF1A1A2E"/>
        <rFont val="Noto Sans CJK SC"/>
        <family val="2"/>
      </rPr>
      <t xml:space="preserve">억 달성 가시성 높음</t>
    </r>
  </si>
  <si>
    <r>
      <rPr>
        <sz val="10"/>
        <color rgb="FF1A1A2E"/>
        <rFont val="Arial"/>
        <family val="0"/>
        <charset val="1"/>
      </rPr>
      <t xml:space="preserve">3. </t>
    </r>
    <r>
      <rPr>
        <sz val="10"/>
        <color rgb="FF1A1A2E"/>
        <rFont val="Noto Sans CJK SC"/>
        <family val="2"/>
      </rPr>
      <t xml:space="preserve">자체 </t>
    </r>
    <r>
      <rPr>
        <sz val="10"/>
        <color rgb="FF1A1A2E"/>
        <rFont val="Arial"/>
        <family val="0"/>
        <charset val="1"/>
      </rPr>
      <t xml:space="preserve">BEP </t>
    </r>
    <r>
      <rPr>
        <sz val="10"/>
        <color rgb="FF1A1A2E"/>
        <rFont val="Noto Sans CJK SC"/>
        <family val="2"/>
      </rPr>
      <t xml:space="preserve">달성 가능 — 투자는 </t>
    </r>
    <r>
      <rPr>
        <sz val="10"/>
        <color rgb="FF1A1A2E"/>
        <rFont val="Arial"/>
        <family val="0"/>
        <charset val="1"/>
      </rPr>
      <t xml:space="preserve">"</t>
    </r>
    <r>
      <rPr>
        <sz val="10"/>
        <color rgb="FF1A1A2E"/>
        <rFont val="Noto Sans CJK SC"/>
        <family val="2"/>
      </rPr>
      <t xml:space="preserve">생존</t>
    </r>
    <r>
      <rPr>
        <sz val="10"/>
        <color rgb="FF1A1A2E"/>
        <rFont val="Arial"/>
        <family val="0"/>
        <charset val="1"/>
      </rPr>
      <t xml:space="preserve">"</t>
    </r>
    <r>
      <rPr>
        <sz val="10"/>
        <color rgb="FF1A1A2E"/>
        <rFont val="Noto Sans CJK SC"/>
        <family val="2"/>
      </rPr>
      <t xml:space="preserve">이 아닌 </t>
    </r>
    <r>
      <rPr>
        <sz val="10"/>
        <color rgb="FF1A1A2E"/>
        <rFont val="Arial"/>
        <family val="0"/>
        <charset val="1"/>
      </rPr>
      <t xml:space="preserve">"</t>
    </r>
    <r>
      <rPr>
        <sz val="10"/>
        <color rgb="FF1A1A2E"/>
        <rFont val="Noto Sans CJK SC"/>
        <family val="2"/>
      </rPr>
      <t xml:space="preserve">가속</t>
    </r>
    <r>
      <rPr>
        <sz val="10"/>
        <color rgb="FF1A1A2E"/>
        <rFont val="Arial"/>
        <family val="0"/>
        <charset val="1"/>
      </rPr>
      <t xml:space="preserve">"</t>
    </r>
    <r>
      <rPr>
        <sz val="10"/>
        <color rgb="FF1A1A2E"/>
        <rFont val="Noto Sans CJK SC"/>
        <family val="2"/>
      </rPr>
      <t xml:space="preserve">의 촉매</t>
    </r>
  </si>
  <si>
    <r>
      <rPr>
        <sz val="10"/>
        <color rgb="FF1A1A2E"/>
        <rFont val="Arial"/>
        <family val="0"/>
        <charset val="1"/>
      </rPr>
      <t xml:space="preserve">4. </t>
    </r>
    <r>
      <rPr>
        <sz val="10"/>
        <color rgb="FF1A1A2E"/>
        <rFont val="Noto Sans CJK SC"/>
        <family val="2"/>
      </rPr>
      <t xml:space="preserve">가트너가 인정한 진단</t>
    </r>
    <r>
      <rPr>
        <sz val="10"/>
        <color rgb="FF1A1A2E"/>
        <rFont val="Arial"/>
        <family val="0"/>
        <charset val="1"/>
      </rPr>
      <t xml:space="preserve">-</t>
    </r>
    <r>
      <rPr>
        <sz val="10"/>
        <color rgb="FF1A1A2E"/>
        <rFont val="Noto Sans CJK SC"/>
        <family val="2"/>
      </rPr>
      <t xml:space="preserve">합성 통합 모델 → 글로벌 경쟁력 검증</t>
    </r>
  </si>
  <si>
    <r>
      <rPr>
        <sz val="10"/>
        <color rgb="FF1A1A2E"/>
        <rFont val="Arial"/>
        <family val="0"/>
        <charset val="1"/>
      </rPr>
      <t xml:space="preserve">5. EU AI Act(2026.8) + AI </t>
    </r>
    <r>
      <rPr>
        <sz val="10"/>
        <color rgb="FF1A1A2E"/>
        <rFont val="Noto Sans CJK SC"/>
        <family val="2"/>
      </rPr>
      <t xml:space="preserve">기본법</t>
    </r>
    <r>
      <rPr>
        <sz val="10"/>
        <color rgb="FF1A1A2E"/>
        <rFont val="Arial"/>
        <family val="0"/>
        <charset val="1"/>
      </rPr>
      <t xml:space="preserve">(2026.1) </t>
    </r>
    <r>
      <rPr>
        <sz val="10"/>
        <color rgb="FF1A1A2E"/>
        <rFont val="Noto Sans CJK SC"/>
        <family val="2"/>
      </rPr>
      <t xml:space="preserve">규제 윈도우 선점</t>
    </r>
  </si>
  <si>
    <r>
      <rPr>
        <sz val="10"/>
        <color rgb="FF1A1A2E"/>
        <rFont val="Arial"/>
        <family val="0"/>
        <charset val="1"/>
      </rPr>
      <t xml:space="preserve">6. TAM $155.6B </t>
    </r>
    <r>
      <rPr>
        <sz val="10"/>
        <color rgb="FF1A1A2E"/>
        <rFont val="Noto Sans CJK SC"/>
        <family val="2"/>
      </rPr>
      <t xml:space="preserve">시장의 구조적 공백</t>
    </r>
    <r>
      <rPr>
        <sz val="10"/>
        <color rgb="FF1A1A2E"/>
        <rFont val="Arial"/>
        <family val="0"/>
        <charset val="1"/>
      </rPr>
      <t xml:space="preserve">(</t>
    </r>
    <r>
      <rPr>
        <sz val="10"/>
        <color rgb="FF1A1A2E"/>
        <rFont val="Noto Sans CJK SC"/>
        <family val="2"/>
      </rPr>
      <t xml:space="preserve">품질 레이어</t>
    </r>
    <r>
      <rPr>
        <sz val="10"/>
        <color rgb="FF1A1A2E"/>
        <rFont val="Arial"/>
        <family val="0"/>
        <charset val="1"/>
      </rPr>
      <t xml:space="preserve">)</t>
    </r>
    <r>
      <rPr>
        <sz val="10"/>
        <color rgb="FF1A1A2E"/>
        <rFont val="Noto Sans CJK SC"/>
        <family val="2"/>
      </rPr>
      <t xml:space="preserve">을 공략</t>
    </r>
  </si>
  <si>
    <r>
      <rPr>
        <sz val="10"/>
        <color rgb="FF1A1A2E"/>
        <rFont val="Arial"/>
        <family val="0"/>
        <charset val="1"/>
      </rPr>
      <t xml:space="preserve">7. CAC ≈ 0</t>
    </r>
    <r>
      <rPr>
        <sz val="10"/>
        <color rgb="FF1A1A2E"/>
        <rFont val="Noto Sans CJK SC"/>
        <family val="2"/>
      </rPr>
      <t xml:space="preserve">원 삼각형 모델 </t>
    </r>
    <r>
      <rPr>
        <sz val="10"/>
        <color rgb="FF1A1A2E"/>
        <rFont val="Arial"/>
        <family val="0"/>
        <charset val="1"/>
      </rPr>
      <t xml:space="preserve">+ </t>
    </r>
    <r>
      <rPr>
        <sz val="10"/>
        <color rgb="FF1A1A2E"/>
        <rFont val="Noto Sans CJK SC"/>
        <family val="2"/>
      </rPr>
      <t xml:space="preserve">소버린 </t>
    </r>
    <r>
      <rPr>
        <sz val="10"/>
        <color rgb="FF1A1A2E"/>
        <rFont val="Arial"/>
        <family val="0"/>
        <charset val="1"/>
      </rPr>
      <t xml:space="preserve">AI </t>
    </r>
    <r>
      <rPr>
        <sz val="10"/>
        <color rgb="FF1A1A2E"/>
        <rFont val="Noto Sans CJK SC"/>
        <family val="2"/>
      </rPr>
      <t xml:space="preserve">온프렘 역량</t>
    </r>
  </si>
  <si>
    <t xml:space="preserve">기술·사업·재무 5개년 마일스톤 (Accelerated 시나리오)</t>
  </si>
  <si>
    <t xml:space="preserve">연도</t>
  </si>
  <si>
    <t xml:space="preserve">기술</t>
  </si>
  <si>
    <t xml:space="preserve">사업</t>
  </si>
  <si>
    <t xml:space="preserve">재무</t>
  </si>
  <si>
    <t xml:space="preserve">핵심 과제</t>
  </si>
  <si>
    <r>
      <rPr>
        <sz val="9"/>
        <color rgb="FF333333"/>
        <rFont val="Arial"/>
        <family val="0"/>
        <charset val="1"/>
      </rPr>
      <t xml:space="preserve">AADS 2</t>
    </r>
    <r>
      <rPr>
        <sz val="9"/>
        <color rgb="FF333333"/>
        <rFont val="Noto Sans CJK SC"/>
        <family val="2"/>
      </rPr>
      <t xml:space="preserve">단계 착수
</t>
    </r>
    <r>
      <rPr>
        <sz val="9"/>
        <color rgb="FF333333"/>
        <rFont val="Arial"/>
        <family val="0"/>
        <charset val="1"/>
      </rPr>
      <t xml:space="preserve">Data Greenhouse v1
PebbloSim PoC #1
KOLAS </t>
    </r>
    <r>
      <rPr>
        <sz val="9"/>
        <color rgb="FF333333"/>
        <rFont val="Noto Sans CJK SC"/>
        <family val="2"/>
      </rPr>
      <t xml:space="preserve">인증기관 확보</t>
    </r>
  </si>
  <si>
    <t xml:space="preserve">브리지 20억 유치
육군 온프렘 납품
세일즈 4명+ 채용
AWS SaaS 런칭
현대차 컨소시엄 참여
델라웨어 법인 설립</t>
  </si>
  <si>
    <t xml:space="preserve">매출 15억, 영업이익 2.5억
인원 22명
인당매출 68백만</t>
  </si>
  <si>
    <t xml:space="preserve">투자 유치 완료
PebbloSim 기술검증</t>
  </si>
  <si>
    <r>
      <rPr>
        <sz val="9"/>
        <color rgb="FF333333"/>
        <rFont val="Arial"/>
        <family val="0"/>
        <charset val="1"/>
      </rPr>
      <t xml:space="preserve">PebbloSim PoC #2 (</t>
    </r>
    <r>
      <rPr>
        <sz val="9"/>
        <color rgb="FF333333"/>
        <rFont val="Noto Sans CJK SC"/>
        <family val="2"/>
      </rPr>
      <t xml:space="preserve">국방</t>
    </r>
    <r>
      <rPr>
        <sz val="9"/>
        <color rgb="FF333333"/>
        <rFont val="Arial"/>
        <family val="0"/>
        <charset val="1"/>
      </rPr>
      <t xml:space="preserve">)
Agentic AI </t>
    </r>
    <r>
      <rPr>
        <sz val="9"/>
        <color rgb="FF333333"/>
        <rFont val="Noto Sans CJK SC"/>
        <family val="2"/>
      </rPr>
      <t xml:space="preserve">자동화
뉴로</t>
    </r>
    <r>
      <rPr>
        <sz val="9"/>
        <color rgb="FF333333"/>
        <rFont val="Arial"/>
        <family val="0"/>
        <charset val="1"/>
      </rPr>
      <t xml:space="preserve">-</t>
    </r>
    <r>
      <rPr>
        <sz val="9"/>
        <color rgb="FF333333"/>
        <rFont val="Noto Sans CJK SC"/>
        <family val="2"/>
      </rPr>
      <t xml:space="preserve">심볼릭 엔진 </t>
    </r>
    <r>
      <rPr>
        <sz val="9"/>
        <color rgb="FF333333"/>
        <rFont val="Arial"/>
        <family val="0"/>
        <charset val="1"/>
      </rPr>
      <t xml:space="preserve">v1</t>
    </r>
  </si>
  <si>
    <t xml:space="preserve">시리즈 A 유치
PebbloSim 상용 3건+
글로벌 SaaS 5억
삼각형 5개+ 가동
EU 대응 패키지 출시</t>
  </si>
  <si>
    <t xml:space="preserve">매출 39억, 영업이익 12억
인원 32명
인당매출 122백만</t>
  </si>
  <si>
    <t xml:space="preserve">시리즈A 밸류에이션
글로벌 초기 진입</t>
  </si>
  <si>
    <r>
      <rPr>
        <sz val="9"/>
        <color rgb="FF333333"/>
        <rFont val="Arial"/>
        <family val="0"/>
        <charset val="1"/>
      </rPr>
      <t xml:space="preserve">PebbloSim PoC #3 (</t>
    </r>
    <r>
      <rPr>
        <sz val="9"/>
        <color rgb="FF333333"/>
        <rFont val="Noto Sans CJK SC"/>
        <family val="2"/>
      </rPr>
      <t xml:space="preserve">조선</t>
    </r>
    <r>
      <rPr>
        <sz val="9"/>
        <color rgb="FF333333"/>
        <rFont val="Arial"/>
        <family val="0"/>
        <charset val="1"/>
      </rPr>
      <t xml:space="preserve">)
Data Greenhouse v2
</t>
    </r>
    <r>
      <rPr>
        <sz val="9"/>
        <color rgb="FF333333"/>
        <rFont val="Noto Sans CJK SC"/>
        <family val="2"/>
      </rPr>
      <t xml:space="preserve">데이터 플라이휠 가동</t>
    </r>
  </si>
  <si>
    <t xml:space="preserve">유럽·미국 고객 확보
도메인 3개+ 상용화
NVIDIA 생태계 접점</t>
  </si>
  <si>
    <t xml:space="preserve">매출 95억, 영업이익 50억
인원 48명
인당매출 198백만
Pre-IPO 준비</t>
  </si>
  <si>
    <r>
      <rPr>
        <sz val="9"/>
        <color rgb="FF333333"/>
        <rFont val="Arial"/>
        <family val="0"/>
        <charset val="1"/>
      </rPr>
      <t xml:space="preserve">Sim-to-Real </t>
    </r>
    <r>
      <rPr>
        <sz val="9"/>
        <color rgb="FF333333"/>
        <rFont val="Noto Sans CJK SC"/>
        <family val="2"/>
      </rPr>
      <t xml:space="preserve">관리
대기업 종속 방지</t>
    </r>
  </si>
  <si>
    <t xml:space="preserve">자율 데이터 관리 플랫폼
Physical AI 통합 솔루션</t>
  </si>
  <si>
    <r>
      <rPr>
        <sz val="9"/>
        <color rgb="FF333333"/>
        <rFont val="Arial"/>
        <family val="0"/>
        <charset val="1"/>
      </rPr>
      <t xml:space="preserve">NVIDIA </t>
    </r>
    <r>
      <rPr>
        <sz val="9"/>
        <color rgb="FF333333"/>
        <rFont val="Noto Sans CJK SC"/>
        <family val="2"/>
      </rPr>
      <t xml:space="preserve">파트너십 공식화
글로벌 매출 </t>
    </r>
    <r>
      <rPr>
        <sz val="9"/>
        <color rgb="FF333333"/>
        <rFont val="Arial"/>
        <family val="0"/>
        <charset val="1"/>
      </rPr>
      <t xml:space="preserve">40</t>
    </r>
    <r>
      <rPr>
        <sz val="9"/>
        <color rgb="FF333333"/>
        <rFont val="Noto Sans CJK SC"/>
        <family val="2"/>
      </rPr>
      <t xml:space="preserve">억</t>
    </r>
    <r>
      <rPr>
        <sz val="9"/>
        <color rgb="FF333333"/>
        <rFont val="Arial"/>
        <family val="0"/>
        <charset val="1"/>
      </rPr>
      <t xml:space="preserve">+
</t>
    </r>
    <r>
      <rPr>
        <sz val="9"/>
        <color rgb="FF333333"/>
        <rFont val="Noto Sans CJK SC"/>
        <family val="2"/>
      </rPr>
      <t xml:space="preserve">국방 채널 본격화</t>
    </r>
  </si>
  <si>
    <t xml:space="preserve">매출 160억, 영업이익 95억
인원 65명
인당매출 246백만
기술특례 상장심사</t>
  </si>
  <si>
    <t xml:space="preserve">조직 스케일업
기술 인력 확보</t>
  </si>
  <si>
    <r>
      <rPr>
        <sz val="9"/>
        <color rgb="FF333333"/>
        <rFont val="Arial"/>
        <family val="0"/>
        <charset val="1"/>
      </rPr>
      <t xml:space="preserve">AI Infra </t>
    </r>
    <r>
      <rPr>
        <sz val="9"/>
        <color rgb="FF333333"/>
        <rFont val="Noto Sans CJK SC"/>
        <family val="2"/>
      </rPr>
      <t xml:space="preserve">글로벌 플랫폼
차세대 월드모델 통합</t>
    </r>
  </si>
  <si>
    <t xml:space="preserve">글로벌 매출 65억+
산업별 레퍼런스 축적
전략적 옵션 검토</t>
  </si>
  <si>
    <t xml:space="preserve">매출 237억+, 영업이익 130억+
인원 85명
인당매출 279백만
기술특례 상장/유니콘</t>
  </si>
  <si>
    <t xml:space="preserve">유니콘 밸류에이션
독립성장 vs Exit</t>
  </si>
  <si>
    <r>
      <rPr>
        <b val="true"/>
        <sz val="14"/>
        <color rgb="FF1A1A2E"/>
        <rFont val="Noto Sans CJK SC"/>
        <family val="2"/>
      </rPr>
      <t xml:space="preserve">시나리오 </t>
    </r>
    <r>
      <rPr>
        <b val="true"/>
        <sz val="14"/>
        <color rgb="FF1A1A2E"/>
        <rFont val="Arial"/>
        <family val="0"/>
        <charset val="1"/>
      </rPr>
      <t xml:space="preserve">C: Maximum Potential — </t>
    </r>
    <r>
      <rPr>
        <b val="true"/>
        <sz val="14"/>
        <color rgb="FF1A1A2E"/>
        <rFont val="Noto Sans CJK SC"/>
        <family val="2"/>
      </rPr>
      <t xml:space="preserve">글로벌 스케일업 </t>
    </r>
    <r>
      <rPr>
        <b val="true"/>
        <sz val="14"/>
        <color rgb="FF1A1A2E"/>
        <rFont val="Arial"/>
        <family val="0"/>
        <charset val="1"/>
      </rPr>
      <t xml:space="preserve">1</t>
    </r>
    <r>
      <rPr>
        <b val="true"/>
        <sz val="14"/>
        <color rgb="FF1A1A2E"/>
        <rFont val="Noto Sans CJK SC"/>
        <family val="2"/>
      </rPr>
      <t xml:space="preserve">천억 궤적</t>
    </r>
  </si>
  <si>
    <r>
      <rPr>
        <i val="true"/>
        <sz val="10"/>
        <color rgb="FF555555"/>
        <rFont val="Noto Sans CJK SC"/>
        <family val="2"/>
      </rPr>
      <t xml:space="preserve">단위</t>
    </r>
    <r>
      <rPr>
        <i val="true"/>
        <sz val="10"/>
        <color rgb="FF555555"/>
        <rFont val="Arial"/>
        <family val="0"/>
        <charset val="1"/>
      </rPr>
      <t xml:space="preserve">: </t>
    </r>
    <r>
      <rPr>
        <i val="true"/>
        <sz val="10"/>
        <color rgb="FF555555"/>
        <rFont val="Noto Sans CJK SC"/>
        <family val="2"/>
      </rPr>
      <t xml:space="preserve">백만원 </t>
    </r>
    <r>
      <rPr>
        <i val="true"/>
        <sz val="10"/>
        <color rgb="FF555555"/>
        <rFont val="Arial"/>
        <family val="0"/>
        <charset val="1"/>
      </rPr>
      <t xml:space="preserve">| 2028 </t>
    </r>
    <r>
      <rPr>
        <i val="true"/>
        <sz val="10"/>
        <color rgb="FF555555"/>
        <rFont val="Noto Sans CJK SC"/>
        <family val="2"/>
      </rPr>
      <t xml:space="preserve">시리즈</t>
    </r>
    <r>
      <rPr>
        <i val="true"/>
        <sz val="10"/>
        <color rgb="FF555555"/>
        <rFont val="Arial"/>
        <family val="0"/>
        <charset val="1"/>
      </rPr>
      <t xml:space="preserve">B/C </t>
    </r>
    <r>
      <rPr>
        <i val="true"/>
        <sz val="10"/>
        <color rgb="FF555555"/>
        <rFont val="Noto Sans CJK SC"/>
        <family val="2"/>
      </rPr>
      <t xml:space="preserve">글로벌 투자 후 폭발 성장 가정 </t>
    </r>
    <r>
      <rPr>
        <i val="true"/>
        <sz val="10"/>
        <color rgb="FF555555"/>
        <rFont val="Arial"/>
        <family val="0"/>
        <charset val="1"/>
      </rPr>
      <t xml:space="preserve">| </t>
    </r>
    <r>
      <rPr>
        <i val="true"/>
        <sz val="10"/>
        <color rgb="FF555555"/>
        <rFont val="Noto Sans CJK SC"/>
        <family val="2"/>
      </rPr>
      <t xml:space="preserve">벤치마크</t>
    </r>
    <r>
      <rPr>
        <i val="true"/>
        <sz val="10"/>
        <color rgb="FF555555"/>
        <rFont val="Arial"/>
        <family val="0"/>
        <charset val="1"/>
      </rPr>
      <t xml:space="preserve">: Applied Intuition, Snowflake, Databricks</t>
    </r>
  </si>
  <si>
    <t xml:space="preserve">2031E</t>
  </si>
  <si>
    <t xml:space="preserve">2032E</t>
  </si>
  <si>
    <t xml:space="preserve">2033E</t>
  </si>
  <si>
    <r>
      <rPr>
        <b val="true"/>
        <sz val="11"/>
        <color rgb="FFFF6600"/>
        <rFont val="Noto Sans CJK SC"/>
        <family val="2"/>
      </rPr>
      <t xml:space="preserve">▎ 시나리오 </t>
    </r>
    <r>
      <rPr>
        <b val="true"/>
        <sz val="11"/>
        <color rgb="FFFF6600"/>
        <rFont val="Arial"/>
        <family val="0"/>
        <charset val="1"/>
      </rPr>
      <t xml:space="preserve">C-1: </t>
    </r>
    <r>
      <rPr>
        <b val="true"/>
        <sz val="11"/>
        <color rgb="FFFF6600"/>
        <rFont val="Noto Sans CJK SC"/>
        <family val="2"/>
      </rPr>
      <t xml:space="preserve">공격적 </t>
    </r>
    <r>
      <rPr>
        <b val="true"/>
        <sz val="11"/>
        <color rgb="FFFF6600"/>
        <rFont val="Arial"/>
        <family val="0"/>
        <charset val="1"/>
      </rPr>
      <t xml:space="preserve">(2030</t>
    </r>
    <r>
      <rPr>
        <b val="true"/>
        <sz val="11"/>
        <color rgb="FFFF6600"/>
        <rFont val="Noto Sans CJK SC"/>
        <family val="2"/>
      </rPr>
      <t xml:space="preserve">년 </t>
    </r>
    <r>
      <rPr>
        <b val="true"/>
        <sz val="11"/>
        <color rgb="FFFF6600"/>
        <rFont val="Arial"/>
        <family val="0"/>
        <charset val="1"/>
      </rPr>
      <t xml:space="preserve">1</t>
    </r>
    <r>
      <rPr>
        <b val="true"/>
        <sz val="11"/>
        <color rgb="FFFF6600"/>
        <rFont val="Noto Sans CJK SC"/>
        <family val="2"/>
      </rPr>
      <t xml:space="preserve">천억</t>
    </r>
    <r>
      <rPr>
        <b val="true"/>
        <sz val="11"/>
        <color rgb="FFFF6600"/>
        <rFont val="Arial"/>
        <family val="0"/>
        <charset val="1"/>
      </rPr>
      <t xml:space="preserve">)</t>
    </r>
  </si>
  <si>
    <r>
      <rPr>
        <sz val="9"/>
        <color rgb="FF555555"/>
        <rFont val="Noto Sans CJK SC"/>
        <family val="2"/>
      </rPr>
      <t xml:space="preserve">  가정</t>
    </r>
    <r>
      <rPr>
        <sz val="9"/>
        <color rgb="FF555555"/>
        <rFont val="Arial"/>
        <family val="0"/>
        <charset val="1"/>
      </rPr>
      <t xml:space="preserve">: 2028 </t>
    </r>
    <r>
      <rPr>
        <sz val="9"/>
        <color rgb="FF555555"/>
        <rFont val="Noto Sans CJK SC"/>
        <family val="2"/>
      </rPr>
      <t xml:space="preserve">글로벌 대규모 투자</t>
    </r>
    <r>
      <rPr>
        <sz val="9"/>
        <color rgb="FF555555"/>
        <rFont val="Arial"/>
        <family val="0"/>
        <charset val="1"/>
      </rPr>
      <t xml:space="preserve">, PMF </t>
    </r>
    <r>
      <rPr>
        <sz val="9"/>
        <color rgb="FF555555"/>
        <rFont val="Noto Sans CJK SC"/>
        <family val="2"/>
      </rPr>
      <t xml:space="preserve">즉시 달성</t>
    </r>
    <r>
      <rPr>
        <sz val="9"/>
        <color rgb="FF555555"/>
        <rFont val="Arial"/>
        <family val="0"/>
        <charset val="1"/>
      </rPr>
      <t xml:space="preserve">, NRR 150%+</t>
    </r>
  </si>
  <si>
    <r>
      <rPr>
        <sz val="10"/>
        <color rgb="FF000000"/>
        <rFont val="Arial"/>
        <family val="0"/>
        <charset val="1"/>
      </rPr>
      <t xml:space="preserve">A. DataClinic </t>
    </r>
    <r>
      <rPr>
        <sz val="10"/>
        <color rgb="FF000000"/>
        <rFont val="Noto Sans CJK SC"/>
        <family val="2"/>
      </rPr>
      <t xml:space="preserve">플랫폼</t>
    </r>
  </si>
  <si>
    <r>
      <rPr>
        <sz val="10"/>
        <color rgb="FF000000"/>
        <rFont val="Arial"/>
        <family val="0"/>
        <charset val="1"/>
      </rPr>
      <t xml:space="preserve">E. </t>
    </r>
    <r>
      <rPr>
        <sz val="10"/>
        <color rgb="FF000000"/>
        <rFont val="Noto Sans CJK SC"/>
        <family val="2"/>
      </rPr>
      <t xml:space="preserve">글로벌 </t>
    </r>
    <r>
      <rPr>
        <sz val="10"/>
        <color rgb="FF000000"/>
        <rFont val="Arial"/>
        <family val="0"/>
        <charset val="1"/>
      </rPr>
      <t xml:space="preserve">SaaS/API</t>
    </r>
  </si>
  <si>
    <r>
      <rPr>
        <sz val="10"/>
        <color rgb="FF000000"/>
        <rFont val="Arial"/>
        <family val="0"/>
        <charset val="1"/>
      </rPr>
      <t xml:space="preserve">F. PebbloSim </t>
    </r>
    <r>
      <rPr>
        <sz val="10"/>
        <color rgb="FF000000"/>
        <rFont val="Noto Sans CJK SC"/>
        <family val="2"/>
      </rPr>
      <t xml:space="preserve">글로벌</t>
    </r>
  </si>
  <si>
    <r>
      <rPr>
        <b val="true"/>
        <sz val="11"/>
        <color rgb="FFFF6600"/>
        <rFont val="Noto Sans CJK SC"/>
        <family val="2"/>
      </rPr>
      <t xml:space="preserve">매출 합계 </t>
    </r>
    <r>
      <rPr>
        <b val="true"/>
        <sz val="11"/>
        <color rgb="FFFF6600"/>
        <rFont val="Arial"/>
        <family val="0"/>
        <charset val="1"/>
      </rPr>
      <t xml:space="preserve">(C-1 </t>
    </r>
    <r>
      <rPr>
        <b val="true"/>
        <sz val="11"/>
        <color rgb="FFFF6600"/>
        <rFont val="Noto Sans CJK SC"/>
        <family val="2"/>
      </rPr>
      <t xml:space="preserve">공격적</t>
    </r>
    <r>
      <rPr>
        <b val="true"/>
        <sz val="11"/>
        <color rgb="FFFF6600"/>
        <rFont val="Arial"/>
        <family val="0"/>
        <charset val="1"/>
      </rPr>
      <t xml:space="preserve">)</t>
    </r>
  </si>
  <si>
    <r>
      <rPr>
        <i val="true"/>
        <sz val="9"/>
        <color rgb="FF666666"/>
        <rFont val="Noto Sans CJK SC"/>
        <family val="2"/>
      </rPr>
      <t xml:space="preserve">  글로벌 매출 비중 </t>
    </r>
    <r>
      <rPr>
        <i val="true"/>
        <sz val="9"/>
        <color rgb="FF666666"/>
        <rFont val="Arial"/>
        <family val="0"/>
        <charset val="1"/>
      </rPr>
      <t xml:space="preserve">(E+F)</t>
    </r>
  </si>
  <si>
    <r>
      <rPr>
        <b val="true"/>
        <sz val="11"/>
        <color rgb="FFCC0000"/>
        <rFont val="Noto Sans CJK SC"/>
        <family val="2"/>
      </rPr>
      <t xml:space="preserve">▎ 시나리오 </t>
    </r>
    <r>
      <rPr>
        <b val="true"/>
        <sz val="11"/>
        <color rgb="FFCC0000"/>
        <rFont val="Arial"/>
        <family val="0"/>
        <charset val="1"/>
      </rPr>
      <t xml:space="preserve">C-2: </t>
    </r>
    <r>
      <rPr>
        <b val="true"/>
        <sz val="11"/>
        <color rgb="FFCC0000"/>
        <rFont val="Noto Sans CJK SC"/>
        <family val="2"/>
      </rPr>
      <t xml:space="preserve">현실적 </t>
    </r>
    <r>
      <rPr>
        <b val="true"/>
        <sz val="11"/>
        <color rgb="FFCC0000"/>
        <rFont val="Arial"/>
        <family val="0"/>
        <charset val="1"/>
      </rPr>
      <t xml:space="preserve">(2033</t>
    </r>
    <r>
      <rPr>
        <b val="true"/>
        <sz val="11"/>
        <color rgb="FFCC0000"/>
        <rFont val="Noto Sans CJK SC"/>
        <family val="2"/>
      </rPr>
      <t xml:space="preserve">년 </t>
    </r>
    <r>
      <rPr>
        <b val="true"/>
        <sz val="11"/>
        <color rgb="FFCC0000"/>
        <rFont val="Arial"/>
        <family val="0"/>
        <charset val="1"/>
      </rPr>
      <t xml:space="preserve">1</t>
    </r>
    <r>
      <rPr>
        <b val="true"/>
        <sz val="11"/>
        <color rgb="FFCC0000"/>
        <rFont val="Noto Sans CJK SC"/>
        <family val="2"/>
      </rPr>
      <t xml:space="preserve">천억</t>
    </r>
    <r>
      <rPr>
        <b val="true"/>
        <sz val="11"/>
        <color rgb="FFCC0000"/>
        <rFont val="Arial"/>
        <family val="0"/>
        <charset val="1"/>
      </rPr>
      <t xml:space="preserve">, </t>
    </r>
    <r>
      <rPr>
        <b val="true"/>
        <sz val="11"/>
        <color rgb="FFCC0000"/>
        <rFont val="Noto Sans CJK SC"/>
        <family val="2"/>
      </rPr>
      <t xml:space="preserve">상장 시점</t>
    </r>
    <r>
      <rPr>
        <b val="true"/>
        <sz val="11"/>
        <color rgb="FFCC0000"/>
        <rFont val="Arial"/>
        <family val="0"/>
        <charset val="1"/>
      </rPr>
      <t xml:space="preserve">)</t>
    </r>
  </si>
  <si>
    <r>
      <rPr>
        <sz val="9"/>
        <color rgb="FF555555"/>
        <rFont val="Noto Sans CJK SC"/>
        <family val="2"/>
      </rPr>
      <t xml:space="preserve">  가정</t>
    </r>
    <r>
      <rPr>
        <sz val="9"/>
        <color rgb="FF555555"/>
        <rFont val="Arial"/>
        <family val="0"/>
        <charset val="1"/>
      </rPr>
      <t xml:space="preserve">: 2028 </t>
    </r>
    <r>
      <rPr>
        <sz val="9"/>
        <color rgb="FF555555"/>
        <rFont val="Noto Sans CJK SC"/>
        <family val="2"/>
      </rPr>
      <t xml:space="preserve">글로벌 투자</t>
    </r>
    <r>
      <rPr>
        <sz val="9"/>
        <color rgb="FF555555"/>
        <rFont val="Arial"/>
        <family val="0"/>
        <charset val="1"/>
      </rPr>
      <t xml:space="preserve">, </t>
    </r>
    <r>
      <rPr>
        <sz val="9"/>
        <color rgb="FF555555"/>
        <rFont val="Noto Sans CJK SC"/>
        <family val="2"/>
      </rPr>
      <t xml:space="preserve">단계적 </t>
    </r>
    <r>
      <rPr>
        <sz val="9"/>
        <color rgb="FF555555"/>
        <rFont val="Arial"/>
        <family val="0"/>
        <charset val="1"/>
      </rPr>
      <t xml:space="preserve">PMF, NRR 125~130%</t>
    </r>
  </si>
  <si>
    <r>
      <rPr>
        <b val="true"/>
        <sz val="11"/>
        <color rgb="FFCC0000"/>
        <rFont val="Noto Sans CJK SC"/>
        <family val="2"/>
      </rPr>
      <t xml:space="preserve">매출 합계 </t>
    </r>
    <r>
      <rPr>
        <b val="true"/>
        <sz val="11"/>
        <color rgb="FFCC0000"/>
        <rFont val="Arial"/>
        <family val="0"/>
        <charset val="1"/>
      </rPr>
      <t xml:space="preserve">(C-2 </t>
    </r>
    <r>
      <rPr>
        <b val="true"/>
        <sz val="11"/>
        <color rgb="FFCC0000"/>
        <rFont val="Noto Sans CJK SC"/>
        <family val="2"/>
      </rPr>
      <t xml:space="preserve">현실적</t>
    </r>
    <r>
      <rPr>
        <b val="true"/>
        <sz val="11"/>
        <color rgb="FFCC0000"/>
        <rFont val="Arial"/>
        <family val="0"/>
        <charset val="1"/>
      </rPr>
      <t xml:space="preserve">)</t>
    </r>
  </si>
  <si>
    <t xml:space="preserve">▎ 글로벌 벤치마크</t>
  </si>
  <si>
    <t xml:space="preserve">Applied Intuition</t>
  </si>
  <si>
    <r>
      <rPr>
        <sz val="10"/>
        <color rgb="FF0000FF"/>
        <rFont val="Arial"/>
        <family val="0"/>
        <charset val="1"/>
      </rPr>
      <t xml:space="preserve">$150</t>
    </r>
    <r>
      <rPr>
        <sz val="10"/>
        <color rgb="FF0000FF"/>
        <rFont val="Noto Sans CJK SC"/>
        <family val="2"/>
      </rPr>
      <t xml:space="preserve">억 가치</t>
    </r>
    <r>
      <rPr>
        <sz val="10"/>
        <color rgb="FF0000FF"/>
        <rFont val="Arial"/>
        <family val="0"/>
        <charset val="1"/>
      </rPr>
      <t xml:space="preserve">, ARR $10</t>
    </r>
    <r>
      <rPr>
        <sz val="10"/>
        <color rgb="FF0000FF"/>
        <rFont val="Noto Sans CJK SC"/>
        <family val="2"/>
      </rPr>
      <t xml:space="preserve">억</t>
    </r>
    <r>
      <rPr>
        <sz val="10"/>
        <color rgb="FF0000FF"/>
        <rFont val="Arial"/>
        <family val="0"/>
        <charset val="1"/>
      </rPr>
      <t xml:space="preserve">(2025E), 85% GPM</t>
    </r>
  </si>
  <si>
    <r>
      <rPr>
        <sz val="9"/>
        <color rgb="FF555555"/>
        <rFont val="Noto Sans CJK SC"/>
        <family val="2"/>
      </rPr>
      <t xml:space="preserve">설립 </t>
    </r>
    <r>
      <rPr>
        <sz val="9"/>
        <color rgb="FF555555"/>
        <rFont val="Arial"/>
        <family val="0"/>
        <charset val="1"/>
      </rPr>
      <t xml:space="preserve">8</t>
    </r>
    <r>
      <rPr>
        <sz val="9"/>
        <color rgb="FF555555"/>
        <rFont val="Noto Sans CJK SC"/>
        <family val="2"/>
      </rPr>
      <t xml:space="preserve">년</t>
    </r>
    <r>
      <rPr>
        <sz val="9"/>
        <color rgb="FF555555"/>
        <rFont val="Arial"/>
        <family val="0"/>
        <charset val="1"/>
      </rPr>
      <t xml:space="preserve">, </t>
    </r>
    <r>
      <rPr>
        <sz val="9"/>
        <color rgb="FF555555"/>
        <rFont val="Noto Sans CJK SC"/>
        <family val="2"/>
      </rPr>
      <t xml:space="preserve">모듈형 </t>
    </r>
    <r>
      <rPr>
        <sz val="9"/>
        <color rgb="FF555555"/>
        <rFont val="Arial"/>
        <family val="0"/>
        <charset val="1"/>
      </rPr>
      <t xml:space="preserve">Land&amp;Expand, </t>
    </r>
    <r>
      <rPr>
        <sz val="9"/>
        <color rgb="FF555555"/>
        <rFont val="Noto Sans CJK SC"/>
        <family val="2"/>
      </rPr>
      <t xml:space="preserve">정부→상용 전환</t>
    </r>
  </si>
  <si>
    <t xml:space="preserve">Snowflake</t>
  </si>
  <si>
    <r>
      <rPr>
        <sz val="10"/>
        <color rgb="FF0000FF"/>
        <rFont val="Noto Sans CJK SC"/>
        <family val="2"/>
      </rPr>
      <t xml:space="preserve">시총 </t>
    </r>
    <r>
      <rPr>
        <sz val="10"/>
        <color rgb="FF0000FF"/>
        <rFont val="Arial"/>
        <family val="0"/>
        <charset val="1"/>
      </rPr>
      <t xml:space="preserve">$530</t>
    </r>
    <r>
      <rPr>
        <sz val="10"/>
        <color rgb="FF0000FF"/>
        <rFont val="Noto Sans CJK SC"/>
        <family val="2"/>
      </rPr>
      <t xml:space="preserve">억</t>
    </r>
    <r>
      <rPr>
        <sz val="10"/>
        <color rgb="FF0000FF"/>
        <rFont val="Arial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매출 </t>
    </r>
    <r>
      <rPr>
        <sz val="10"/>
        <color rgb="FF0000FF"/>
        <rFont val="Arial"/>
        <family val="0"/>
        <charset val="1"/>
      </rPr>
      <t xml:space="preserve">$44.7</t>
    </r>
    <r>
      <rPr>
        <sz val="10"/>
        <color rgb="FF0000FF"/>
        <rFont val="Noto Sans CJK SC"/>
        <family val="2"/>
      </rPr>
      <t xml:space="preserve">억</t>
    </r>
    <r>
      <rPr>
        <sz val="10"/>
        <color rgb="FF0000FF"/>
        <rFont val="Arial"/>
        <family val="0"/>
        <charset val="1"/>
      </rPr>
      <t xml:space="preserve">, NRR 125%</t>
    </r>
  </si>
  <si>
    <r>
      <rPr>
        <sz val="9"/>
        <color rgb="FF555555"/>
        <rFont val="Noto Sans CJK SC"/>
        <family val="2"/>
      </rPr>
      <t xml:space="preserve">소비 기반 과금</t>
    </r>
    <r>
      <rPr>
        <sz val="9"/>
        <color rgb="FF555555"/>
        <rFont val="Arial"/>
        <family val="0"/>
        <charset val="1"/>
      </rPr>
      <t xml:space="preserve">, 12,600+ </t>
    </r>
    <r>
      <rPr>
        <sz val="9"/>
        <color rgb="FF555555"/>
        <rFont val="Noto Sans CJK SC"/>
        <family val="2"/>
      </rPr>
      <t xml:space="preserve">고객</t>
    </r>
    <r>
      <rPr>
        <sz val="9"/>
        <color rgb="FF555555"/>
        <rFont val="Arial"/>
        <family val="0"/>
        <charset val="1"/>
      </rPr>
      <t xml:space="preserve">, </t>
    </r>
    <r>
      <rPr>
        <sz val="9"/>
        <color rgb="FF555555"/>
        <rFont val="Noto Sans CJK SC"/>
        <family val="2"/>
      </rPr>
      <t xml:space="preserve">데이터 품질 진단 부재</t>
    </r>
  </si>
  <si>
    <t xml:space="preserve">Databricks</t>
  </si>
  <si>
    <r>
      <rPr>
        <sz val="10"/>
        <color rgb="FF0000FF"/>
        <rFont val="Noto Sans CJK SC"/>
        <family val="2"/>
      </rPr>
      <t xml:space="preserve">가치 </t>
    </r>
    <r>
      <rPr>
        <sz val="10"/>
        <color rgb="FF0000FF"/>
        <rFont val="Arial"/>
        <family val="0"/>
        <charset val="1"/>
      </rPr>
      <t xml:space="preserve">$1,340</t>
    </r>
    <r>
      <rPr>
        <sz val="10"/>
        <color rgb="FF0000FF"/>
        <rFont val="Noto Sans CJK SC"/>
        <family val="2"/>
      </rPr>
      <t xml:space="preserve">억</t>
    </r>
    <r>
      <rPr>
        <sz val="10"/>
        <color rgb="FF0000FF"/>
        <rFont val="Arial"/>
        <family val="0"/>
        <charset val="1"/>
      </rPr>
      <t xml:space="preserve">, ARR $54</t>
    </r>
    <r>
      <rPr>
        <sz val="10"/>
        <color rgb="FF0000FF"/>
        <rFont val="Noto Sans CJK SC"/>
        <family val="2"/>
      </rPr>
      <t xml:space="preserve">억</t>
    </r>
    <r>
      <rPr>
        <sz val="10"/>
        <color rgb="FF0000FF"/>
        <rFont val="Arial"/>
        <family val="0"/>
        <charset val="1"/>
      </rPr>
      <t xml:space="preserve">, YoY +65%</t>
    </r>
  </si>
  <si>
    <r>
      <rPr>
        <sz val="9"/>
        <color rgb="FF555555"/>
        <rFont val="Noto Sans CJK SC"/>
        <family val="2"/>
      </rPr>
      <t xml:space="preserve">오픈코어 전략</t>
    </r>
    <r>
      <rPr>
        <sz val="9"/>
        <color rgb="FF555555"/>
        <rFont val="Arial"/>
        <family val="0"/>
        <charset val="1"/>
      </rPr>
      <t xml:space="preserve">, 10,000+ </t>
    </r>
    <r>
      <rPr>
        <sz val="9"/>
        <color rgb="FF555555"/>
        <rFont val="Noto Sans CJK SC"/>
        <family val="2"/>
      </rPr>
      <t xml:space="preserve">고객</t>
    </r>
    <r>
      <rPr>
        <sz val="9"/>
        <color rgb="FF555555"/>
        <rFont val="Arial"/>
        <family val="0"/>
        <charset val="1"/>
      </rPr>
      <t xml:space="preserve">, </t>
    </r>
    <r>
      <rPr>
        <sz val="9"/>
        <color rgb="FF555555"/>
        <rFont val="Noto Sans CJK SC"/>
        <family val="2"/>
      </rPr>
      <t xml:space="preserve">도메인 품질 공백</t>
    </r>
  </si>
  <si>
    <t xml:space="preserve">페블러스 기회</t>
  </si>
  <si>
    <r>
      <rPr>
        <sz val="10"/>
        <color rgb="FF0000FF"/>
        <rFont val="Noto Sans CJK SC"/>
        <family val="2"/>
      </rPr>
      <t xml:space="preserve">세 거인 모두에 부재한 </t>
    </r>
    <r>
      <rPr>
        <sz val="10"/>
        <color rgb="FF0000FF"/>
        <rFont val="Arial"/>
        <family val="0"/>
        <charset val="1"/>
      </rPr>
      <t xml:space="preserve">"</t>
    </r>
    <r>
      <rPr>
        <sz val="10"/>
        <color rgb="FF0000FF"/>
        <rFont val="Noto Sans CJK SC"/>
        <family val="2"/>
      </rPr>
      <t xml:space="preserve">품질 레이어</t>
    </r>
    <r>
      <rPr>
        <sz val="10"/>
        <color rgb="FF0000FF"/>
        <rFont val="Arial"/>
        <family val="0"/>
        <charset val="1"/>
      </rPr>
      <t xml:space="preserve">"</t>
    </r>
  </si>
  <si>
    <r>
      <rPr>
        <sz val="9"/>
        <color rgb="FF555555"/>
        <rFont val="Arial"/>
        <family val="0"/>
        <charset val="1"/>
      </rPr>
      <t xml:space="preserve">DataClinic→Data Greenhouse</t>
    </r>
    <r>
      <rPr>
        <sz val="9"/>
        <color rgb="FF555555"/>
        <rFont val="Noto Sans CJK SC"/>
        <family val="2"/>
      </rPr>
      <t xml:space="preserve">가 </t>
    </r>
    <r>
      <rPr>
        <sz val="9"/>
        <color rgb="FF555555"/>
        <rFont val="Arial"/>
        <family val="0"/>
        <charset val="1"/>
      </rPr>
      <t xml:space="preserve">Adapter</t>
    </r>
    <r>
      <rPr>
        <sz val="9"/>
        <color rgb="FF555555"/>
        <rFont val="Noto Sans CJK SC"/>
        <family val="2"/>
      </rPr>
      <t xml:space="preserve">로 진입</t>
    </r>
  </si>
  <si>
    <t xml:space="preserve">▎ 투자 로드맵</t>
  </si>
  <si>
    <r>
      <rPr>
        <b val="true"/>
        <sz val="10"/>
        <color rgb="FFFF6600"/>
        <rFont val="Noto Sans CJK SC"/>
        <family val="2"/>
      </rPr>
      <t xml:space="preserve">브리지 </t>
    </r>
    <r>
      <rPr>
        <b val="true"/>
        <sz val="10"/>
        <color rgb="FFFF6600"/>
        <rFont val="Arial"/>
        <family val="0"/>
        <charset val="1"/>
      </rPr>
      <t xml:space="preserve">20</t>
    </r>
    <r>
      <rPr>
        <b val="true"/>
        <sz val="10"/>
        <color rgb="FFFF6600"/>
        <rFont val="Noto Sans CJK SC"/>
        <family val="2"/>
      </rPr>
      <t xml:space="preserve">억</t>
    </r>
  </si>
  <si>
    <r>
      <rPr>
        <sz val="9"/>
        <color rgb="FF555555"/>
        <rFont val="Noto Sans CJK SC"/>
        <family val="2"/>
      </rPr>
      <t xml:space="preserve">국내 </t>
    </r>
    <r>
      <rPr>
        <sz val="9"/>
        <color rgb="FF555555"/>
        <rFont val="Arial"/>
        <family val="0"/>
        <charset val="1"/>
      </rPr>
      <t xml:space="preserve">BEP + </t>
    </r>
    <r>
      <rPr>
        <sz val="9"/>
        <color rgb="FF555555"/>
        <rFont val="Noto Sans CJK SC"/>
        <family val="2"/>
      </rPr>
      <t xml:space="preserve">글로벌 준비</t>
    </r>
  </si>
  <si>
    <r>
      <rPr>
        <b val="true"/>
        <sz val="10"/>
        <color rgb="FFFF6600"/>
        <rFont val="Noto Sans CJK SC"/>
        <family val="2"/>
      </rPr>
      <t xml:space="preserve">시리즈 </t>
    </r>
    <r>
      <rPr>
        <b val="true"/>
        <sz val="10"/>
        <color rgb="FFFF6600"/>
        <rFont val="Arial"/>
        <family val="0"/>
        <charset val="1"/>
      </rPr>
      <t xml:space="preserve">A</t>
    </r>
  </si>
  <si>
    <r>
      <rPr>
        <sz val="9"/>
        <color rgb="FF555555"/>
        <rFont val="Noto Sans CJK SC"/>
        <family val="2"/>
      </rPr>
      <t xml:space="preserve">글로벌 </t>
    </r>
    <r>
      <rPr>
        <sz val="9"/>
        <color rgb="FF555555"/>
        <rFont val="Arial"/>
        <family val="0"/>
        <charset val="1"/>
      </rPr>
      <t xml:space="preserve">SaaS </t>
    </r>
    <r>
      <rPr>
        <sz val="9"/>
        <color rgb="FF555555"/>
        <rFont val="Noto Sans CJK SC"/>
        <family val="2"/>
      </rPr>
      <t xml:space="preserve">런칭 </t>
    </r>
    <r>
      <rPr>
        <sz val="9"/>
        <color rgb="FF555555"/>
        <rFont val="Arial"/>
        <family val="0"/>
        <charset val="1"/>
      </rPr>
      <t xml:space="preserve">+ PebbloSim </t>
    </r>
    <r>
      <rPr>
        <sz val="9"/>
        <color rgb="FF555555"/>
        <rFont val="Noto Sans CJK SC"/>
        <family val="2"/>
      </rPr>
      <t xml:space="preserve">상용화</t>
    </r>
  </si>
  <si>
    <r>
      <rPr>
        <b val="true"/>
        <sz val="10"/>
        <color rgb="FFFF6600"/>
        <rFont val="Noto Sans CJK SC"/>
        <family val="2"/>
      </rPr>
      <t xml:space="preserve">시리즈 </t>
    </r>
    <r>
      <rPr>
        <b val="true"/>
        <sz val="10"/>
        <color rgb="FFFF6600"/>
        <rFont val="Arial"/>
        <family val="0"/>
        <charset val="1"/>
      </rPr>
      <t xml:space="preserve">B/C (</t>
    </r>
    <r>
      <rPr>
        <b val="true"/>
        <sz val="10"/>
        <color rgb="FFFF6600"/>
        <rFont val="Noto Sans CJK SC"/>
        <family val="2"/>
      </rPr>
      <t xml:space="preserve">글로벌 대규모</t>
    </r>
    <r>
      <rPr>
        <b val="true"/>
        <sz val="10"/>
        <color rgb="FFFF6600"/>
        <rFont val="Arial"/>
        <family val="0"/>
        <charset val="1"/>
      </rPr>
      <t xml:space="preserve">)</t>
    </r>
  </si>
  <si>
    <r>
      <rPr>
        <sz val="9"/>
        <color rgb="FF555555"/>
        <rFont val="Noto Sans CJK SC"/>
        <family val="2"/>
      </rPr>
      <t xml:space="preserve">미국</t>
    </r>
    <r>
      <rPr>
        <sz val="9"/>
        <color rgb="FF555555"/>
        <rFont val="Arial"/>
        <family val="0"/>
        <charset val="1"/>
      </rPr>
      <t xml:space="preserve">/</t>
    </r>
    <r>
      <rPr>
        <sz val="9"/>
        <color rgb="FF555555"/>
        <rFont val="Noto Sans CJK SC"/>
        <family val="2"/>
      </rPr>
      <t xml:space="preserve">유럽 팀 구축</t>
    </r>
    <r>
      <rPr>
        <sz val="9"/>
        <color rgb="FF555555"/>
        <rFont val="Arial"/>
        <family val="0"/>
        <charset val="1"/>
      </rPr>
      <t xml:space="preserve">, </t>
    </r>
    <r>
      <rPr>
        <sz val="9"/>
        <color rgb="FF555555"/>
        <rFont val="Noto Sans CJK SC"/>
        <family val="2"/>
      </rPr>
      <t xml:space="preserve">글로벌 세일즈 인프라</t>
    </r>
  </si>
  <si>
    <t xml:space="preserve">2029~30</t>
  </si>
  <si>
    <r>
      <rPr>
        <b val="true"/>
        <sz val="10"/>
        <color rgb="FFFF6600"/>
        <rFont val="Noto Sans CJK SC"/>
        <family val="2"/>
      </rPr>
      <t xml:space="preserve">프리</t>
    </r>
    <r>
      <rPr>
        <b val="true"/>
        <sz val="10"/>
        <color rgb="FFFF6600"/>
        <rFont val="Arial"/>
        <family val="0"/>
        <charset val="1"/>
      </rPr>
      <t xml:space="preserve">IPO / </t>
    </r>
    <r>
      <rPr>
        <b val="true"/>
        <sz val="10"/>
        <color rgb="FFFF6600"/>
        <rFont val="Noto Sans CJK SC"/>
        <family val="2"/>
      </rPr>
      <t xml:space="preserve">성장 투자</t>
    </r>
  </si>
  <si>
    <r>
      <rPr>
        <sz val="9"/>
        <color rgb="FF555555"/>
        <rFont val="Noto Sans CJK SC"/>
        <family val="2"/>
      </rPr>
      <t xml:space="preserve">글로벌 확장 가속</t>
    </r>
    <r>
      <rPr>
        <sz val="9"/>
        <color rgb="FF555555"/>
        <rFont val="Arial"/>
        <family val="0"/>
        <charset val="1"/>
      </rPr>
      <t xml:space="preserve">, M&amp;A </t>
    </r>
    <r>
      <rPr>
        <sz val="9"/>
        <color rgb="FF555555"/>
        <rFont val="Noto Sans CJK SC"/>
        <family val="2"/>
      </rPr>
      <t xml:space="preserve">검토</t>
    </r>
  </si>
  <si>
    <t xml:space="preserve">2030~33</t>
  </si>
  <si>
    <t xml:space="preserve">기술특례 상장</t>
  </si>
  <si>
    <r>
      <rPr>
        <sz val="9"/>
        <color rgb="FF555555"/>
        <rFont val="Arial"/>
        <family val="0"/>
        <charset val="1"/>
      </rPr>
      <t xml:space="preserve">1</t>
    </r>
    <r>
      <rPr>
        <sz val="9"/>
        <color rgb="FF555555"/>
        <rFont val="Noto Sans CJK SC"/>
        <family val="2"/>
      </rPr>
      <t xml:space="preserve">천억 매출</t>
    </r>
    <r>
      <rPr>
        <sz val="9"/>
        <color rgb="FF555555"/>
        <rFont val="Arial"/>
        <family val="0"/>
        <charset val="1"/>
      </rPr>
      <t xml:space="preserve">, 1</t>
    </r>
    <r>
      <rPr>
        <sz val="9"/>
        <color rgb="FF555555"/>
        <rFont val="Noto Sans CJK SC"/>
        <family val="2"/>
      </rPr>
      <t xml:space="preserve">조</t>
    </r>
    <r>
      <rPr>
        <sz val="9"/>
        <color rgb="FF555555"/>
        <rFont val="Arial"/>
        <family val="0"/>
        <charset val="1"/>
      </rPr>
      <t xml:space="preserve">+ </t>
    </r>
    <r>
      <rPr>
        <sz val="9"/>
        <color rgb="FF555555"/>
        <rFont val="Noto Sans CJK SC"/>
        <family val="2"/>
      </rPr>
      <t xml:space="preserve">기업가치</t>
    </r>
  </si>
  <si>
    <r>
      <rPr>
        <i val="true"/>
        <sz val="9"/>
        <color rgb="FFCC0000"/>
        <rFont val="Arial"/>
        <family val="0"/>
        <charset val="1"/>
      </rPr>
      <t xml:space="preserve">※ 1</t>
    </r>
    <r>
      <rPr>
        <i val="true"/>
        <sz val="9"/>
        <color rgb="FFCC0000"/>
        <rFont val="Noto Sans CJK SC"/>
        <family val="2"/>
      </rPr>
      <t xml:space="preserve">천억 시나리오의 핵심 전제</t>
    </r>
    <r>
      <rPr>
        <i val="true"/>
        <sz val="9"/>
        <color rgb="FFCC0000"/>
        <rFont val="Arial"/>
        <family val="0"/>
        <charset val="1"/>
      </rPr>
      <t xml:space="preserve">: </t>
    </r>
    <r>
      <rPr>
        <i val="true"/>
        <sz val="9"/>
        <color rgb="FFCC0000"/>
        <rFont val="Noto Sans CJK SC"/>
        <family val="2"/>
      </rPr>
      <t xml:space="preserve">글로벌 </t>
    </r>
    <r>
      <rPr>
        <i val="true"/>
        <sz val="9"/>
        <color rgb="FFCC0000"/>
        <rFont val="Arial"/>
        <family val="0"/>
        <charset val="1"/>
      </rPr>
      <t xml:space="preserve">SaaS + PebbloSim</t>
    </r>
    <r>
      <rPr>
        <i val="true"/>
        <sz val="9"/>
        <color rgb="FFCC0000"/>
        <rFont val="Noto Sans CJK SC"/>
        <family val="2"/>
      </rPr>
      <t xml:space="preserve">이 </t>
    </r>
    <r>
      <rPr>
        <i val="true"/>
        <sz val="9"/>
        <color rgb="FFCC0000"/>
        <rFont val="Arial"/>
        <family val="0"/>
        <charset val="1"/>
      </rPr>
      <t xml:space="preserve">PMF </t>
    </r>
    <r>
      <rPr>
        <i val="true"/>
        <sz val="9"/>
        <color rgb="FFCC0000"/>
        <rFont val="Noto Sans CJK SC"/>
        <family val="2"/>
      </rPr>
      <t xml:space="preserve">달성 후 기하급수적 확장</t>
    </r>
  </si>
  <si>
    <r>
      <rPr>
        <i val="true"/>
        <sz val="9"/>
        <color rgb="FF0000FF"/>
        <rFont val="Noto Sans CJK SC"/>
        <family val="2"/>
      </rPr>
      <t xml:space="preserve">※ 국내 </t>
    </r>
    <r>
      <rPr>
        <i val="true"/>
        <sz val="9"/>
        <color rgb="FF0000FF"/>
        <rFont val="Arial"/>
        <family val="0"/>
        <charset val="1"/>
      </rPr>
      <t xml:space="preserve">B2G</t>
    </r>
    <r>
      <rPr>
        <i val="true"/>
        <sz val="9"/>
        <color rgb="FF0000FF"/>
        <rFont val="Noto Sans CJK SC"/>
        <family val="2"/>
      </rPr>
      <t xml:space="preserve">는 캐시카우</t>
    </r>
    <r>
      <rPr>
        <i val="true"/>
        <sz val="9"/>
        <color rgb="FF0000FF"/>
        <rFont val="Arial"/>
        <family val="0"/>
        <charset val="1"/>
      </rPr>
      <t xml:space="preserve">, </t>
    </r>
    <r>
      <rPr>
        <i val="true"/>
        <sz val="9"/>
        <color rgb="FF0000FF"/>
        <rFont val="Noto Sans CJK SC"/>
        <family val="2"/>
      </rPr>
      <t xml:space="preserve">글로벌 </t>
    </r>
    <r>
      <rPr>
        <i val="true"/>
        <sz val="9"/>
        <color rgb="FF0000FF"/>
        <rFont val="Arial"/>
        <family val="0"/>
        <charset val="1"/>
      </rPr>
      <t xml:space="preserve">SaaS/PebbloSim</t>
    </r>
    <r>
      <rPr>
        <i val="true"/>
        <sz val="9"/>
        <color rgb="FF0000FF"/>
        <rFont val="Noto Sans CJK SC"/>
        <family val="2"/>
      </rPr>
      <t xml:space="preserve">이 </t>
    </r>
    <r>
      <rPr>
        <i val="true"/>
        <sz val="9"/>
        <color rgb="FF0000FF"/>
        <rFont val="Arial"/>
        <family val="0"/>
        <charset val="1"/>
      </rPr>
      <t xml:space="preserve">2028</t>
    </r>
    <r>
      <rPr>
        <i val="true"/>
        <sz val="9"/>
        <color rgb="FF0000FF"/>
        <rFont val="Noto Sans CJK SC"/>
        <family val="2"/>
      </rPr>
      <t xml:space="preserve">년 이후 성장 엔진 </t>
    </r>
    <r>
      <rPr>
        <i val="true"/>
        <sz val="9"/>
        <color rgb="FF0000FF"/>
        <rFont val="Arial"/>
        <family val="0"/>
        <charset val="1"/>
      </rPr>
      <t xml:space="preserve">(</t>
    </r>
    <r>
      <rPr>
        <i val="true"/>
        <sz val="9"/>
        <color rgb="FF0000FF"/>
        <rFont val="Noto Sans CJK SC"/>
        <family val="2"/>
      </rPr>
      <t xml:space="preserve">매출의 </t>
    </r>
    <r>
      <rPr>
        <i val="true"/>
        <sz val="9"/>
        <color rgb="FF0000FF"/>
        <rFont val="Arial"/>
        <family val="0"/>
        <charset val="1"/>
      </rPr>
      <t xml:space="preserve">70%+)</t>
    </r>
  </si>
  <si>
    <r>
      <rPr>
        <b val="true"/>
        <sz val="14"/>
        <color rgb="FF1A1A2E"/>
        <rFont val="Arial"/>
        <family val="0"/>
        <charset val="1"/>
      </rPr>
      <t xml:space="preserve">6</t>
    </r>
    <r>
      <rPr>
        <b val="true"/>
        <sz val="14"/>
        <color rgb="FF1A1A2E"/>
        <rFont val="Noto Sans CJK SC"/>
        <family val="2"/>
      </rPr>
      <t xml:space="preserve">대 제품 라인업 </t>
    </r>
    <r>
      <rPr>
        <b val="true"/>
        <sz val="14"/>
        <color rgb="FF1A1A2E"/>
        <rFont val="Arial"/>
        <family val="0"/>
        <charset val="1"/>
      </rPr>
      <t xml:space="preserve">Unit Economics (2030E, Accelerated </t>
    </r>
    <r>
      <rPr>
        <b val="true"/>
        <sz val="14"/>
        <color rgb="FF1A1A2E"/>
        <rFont val="Noto Sans CJK SC"/>
        <family val="2"/>
      </rPr>
      <t xml:space="preserve">시나리오</t>
    </r>
    <r>
      <rPr>
        <b val="true"/>
        <sz val="14"/>
        <color rgb="FF1A1A2E"/>
        <rFont val="Arial"/>
        <family val="0"/>
        <charset val="1"/>
      </rPr>
      <t xml:space="preserve">)</t>
    </r>
  </si>
  <si>
    <r>
      <rPr>
        <i val="true"/>
        <sz val="10"/>
        <color rgb="FF555555"/>
        <rFont val="Noto Sans CJK SC"/>
        <family val="2"/>
      </rPr>
      <t xml:space="preserve">고객사 수 </t>
    </r>
    <r>
      <rPr>
        <i val="true"/>
        <sz val="10"/>
        <color rgb="FF555555"/>
        <rFont val="Arial"/>
        <family val="0"/>
        <charset val="1"/>
      </rPr>
      <t xml:space="preserve">× Blended ARPU = </t>
    </r>
    <r>
      <rPr>
        <i val="true"/>
        <sz val="10"/>
        <color rgb="FF555555"/>
        <rFont val="Noto Sans CJK SC"/>
        <family val="2"/>
      </rPr>
      <t xml:space="preserve">제품 매출 </t>
    </r>
    <r>
      <rPr>
        <i val="true"/>
        <sz val="10"/>
        <color rgb="FF555555"/>
        <rFont val="Arial"/>
        <family val="0"/>
        <charset val="1"/>
      </rPr>
      <t xml:space="preserve">| </t>
    </r>
    <r>
      <rPr>
        <i val="true"/>
        <sz val="10"/>
        <color rgb="FF555555"/>
        <rFont val="Noto Sans CJK SC"/>
        <family val="2"/>
      </rPr>
      <t xml:space="preserve">채널 믹스 </t>
    </r>
    <r>
      <rPr>
        <i val="true"/>
        <sz val="10"/>
        <color rgb="FF555555"/>
        <rFont val="Arial"/>
        <family val="0"/>
        <charset val="1"/>
      </rPr>
      <t xml:space="preserve">| </t>
    </r>
    <r>
      <rPr>
        <i val="true"/>
        <sz val="10"/>
        <color rgb="FF555555"/>
        <rFont val="Noto Sans CJK SC"/>
        <family val="2"/>
      </rPr>
      <t xml:space="preserve">모듈화에 의한 온보딩 비용 감소</t>
    </r>
  </si>
  <si>
    <t xml:space="preserve">제품 라인업</t>
  </si>
  <si>
    <r>
      <rPr>
        <b val="true"/>
        <sz val="11"/>
        <color rgb="FFFFFFFF"/>
        <rFont val="Noto Sans CJK SC"/>
        <family val="2"/>
      </rPr>
      <t xml:space="preserve">고객 수
</t>
    </r>
    <r>
      <rPr>
        <b val="true"/>
        <sz val="11"/>
        <color rgb="FFFFFFFF"/>
        <rFont val="Arial"/>
        <family val="0"/>
        <charset val="1"/>
      </rPr>
      <t xml:space="preserve">(2030E)</t>
    </r>
  </si>
  <si>
    <r>
      <rPr>
        <b val="true"/>
        <sz val="11"/>
        <color rgb="FFFFFFFF"/>
        <rFont val="Arial"/>
        <family val="0"/>
        <charset val="1"/>
      </rPr>
      <t xml:space="preserve">Blended
ARPU(</t>
    </r>
    <r>
      <rPr>
        <b val="true"/>
        <sz val="11"/>
        <color rgb="FFFFFFFF"/>
        <rFont val="Noto Sans CJK SC"/>
        <family val="2"/>
      </rPr>
      <t xml:space="preserve">백만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</si>
  <si>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2030 </t>
    </r>
    <r>
      <rPr>
        <b val="true"/>
        <sz val="11"/>
        <color rgb="FFFFFFFF"/>
        <rFont val="Noto Sans CJK SC"/>
        <family val="2"/>
      </rPr>
      <t xml:space="preserve">매출
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백만원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</si>
  <si>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CAC
(</t>
    </r>
    <r>
      <rPr>
        <b val="true"/>
        <sz val="11"/>
        <color rgb="FFFFFFFF"/>
        <rFont val="Noto Sans CJK SC"/>
        <family val="2"/>
      </rPr>
      <t xml:space="preserve">백만원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</si>
  <si>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CAC</t>
    </r>
    <r>
      <rPr>
        <b val="true"/>
        <sz val="11"/>
        <color rgb="FFFFFFFF"/>
        <rFont val="Noto Sans CJK SC"/>
        <family val="2"/>
      </rPr>
      <t xml:space="preserve">회수
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개월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</si>
  <si>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LTV/CAC</t>
  </si>
  <si>
    <t xml:space="preserve">영업이익
기여율</t>
  </si>
  <si>
    <r>
      <rPr>
        <b val="true"/>
        <sz val="11"/>
        <color rgb="FFFFFFFF"/>
        <rFont val="Noto Sans CJK SC"/>
        <family val="2"/>
      </rPr>
      <t xml:space="preserve">채널 믹스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매출 기준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</si>
  <si>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000000"/>
        <rFont val="Arial"/>
        <family val="0"/>
        <charset val="1"/>
      </rPr>
      <t xml:space="preserve">1. </t>
    </r>
    <r>
      <rPr>
        <b val="true"/>
        <sz val="10"/>
        <color rgb="FF000000"/>
        <rFont val="Noto Sans CJK SC"/>
        <family val="2"/>
      </rPr>
      <t xml:space="preserve">데이터클리닉</t>
    </r>
  </si>
  <si>
    <t xml:space="preserve">18.5x</t>
  </si>
  <si>
    <t xml:space="preserve">72%</t>
  </si>
  <si>
    <r>
      <rPr>
        <i val="true"/>
        <sz val="9"/>
        <color rgb="FF555555"/>
        <rFont val="Arial"/>
        <family val="0"/>
        <charset val="1"/>
      </rPr>
      <t xml:space="preserve">SaaS 32% | </t>
    </r>
    <r>
      <rPr>
        <i val="true"/>
        <sz val="9"/>
        <color rgb="FF555555"/>
        <rFont val="Noto Sans CJK SC"/>
        <family val="2"/>
      </rPr>
      <t xml:space="preserve">온프렘 </t>
    </r>
    <r>
      <rPr>
        <i val="true"/>
        <sz val="9"/>
        <color rgb="FF555555"/>
        <rFont val="Arial"/>
        <family val="0"/>
        <charset val="1"/>
      </rPr>
      <t xml:space="preserve">25% | </t>
    </r>
    <r>
      <rPr>
        <i val="true"/>
        <sz val="9"/>
        <color rgb="FF555555"/>
        <rFont val="Noto Sans CJK SC"/>
        <family val="2"/>
      </rPr>
      <t xml:space="preserve">조달 </t>
    </r>
    <r>
      <rPr>
        <i val="true"/>
        <sz val="9"/>
        <color rgb="FF555555"/>
        <rFont val="Arial"/>
        <family val="0"/>
        <charset val="1"/>
      </rPr>
      <t xml:space="preserve">14% | </t>
    </r>
    <r>
      <rPr>
        <i val="true"/>
        <sz val="9"/>
        <color rgb="FF555555"/>
        <rFont val="Noto Sans CJK SC"/>
        <family val="2"/>
      </rPr>
      <t xml:space="preserve">프로젝트 </t>
    </r>
    <r>
      <rPr>
        <i val="true"/>
        <sz val="9"/>
        <color rgb="FF555555"/>
        <rFont val="Arial"/>
        <family val="0"/>
        <charset val="1"/>
      </rPr>
      <t xml:space="preserve">17% | </t>
    </r>
    <r>
      <rPr>
        <i val="true"/>
        <sz val="9"/>
        <color rgb="FF555555"/>
        <rFont val="Noto Sans CJK SC"/>
        <family val="2"/>
      </rPr>
      <t xml:space="preserve">컨설팅 </t>
    </r>
    <r>
      <rPr>
        <i val="true"/>
        <sz val="9"/>
        <color rgb="FF555555"/>
        <rFont val="Arial"/>
        <family val="0"/>
        <charset val="1"/>
      </rPr>
      <t xml:space="preserve">11%</t>
    </r>
  </si>
  <si>
    <r>
      <rPr>
        <b val="true"/>
        <sz val="10"/>
        <color rgb="FF000000"/>
        <rFont val="Arial"/>
        <family val="0"/>
        <charset val="1"/>
      </rPr>
      <t xml:space="preserve">2. </t>
    </r>
    <r>
      <rPr>
        <b val="true"/>
        <sz val="10"/>
        <color rgb="FF000000"/>
        <rFont val="Noto Sans CJK SC"/>
        <family val="2"/>
      </rPr>
      <t xml:space="preserve">페블로스코프</t>
    </r>
  </si>
  <si>
    <t xml:space="preserve">17.0x</t>
  </si>
  <si>
    <t xml:space="preserve">78%</t>
  </si>
  <si>
    <r>
      <rPr>
        <i val="true"/>
        <sz val="9"/>
        <color rgb="FF555555"/>
        <rFont val="Arial"/>
        <family val="0"/>
        <charset val="1"/>
      </rPr>
      <t xml:space="preserve">SaaS 50% | </t>
    </r>
    <r>
      <rPr>
        <i val="true"/>
        <sz val="9"/>
        <color rgb="FF555555"/>
        <rFont val="Noto Sans CJK SC"/>
        <family val="2"/>
      </rPr>
      <t xml:space="preserve">조달 </t>
    </r>
    <r>
      <rPr>
        <i val="true"/>
        <sz val="9"/>
        <color rgb="FF555555"/>
        <rFont val="Arial"/>
        <family val="0"/>
        <charset val="1"/>
      </rPr>
      <t xml:space="preserve">20% | </t>
    </r>
    <r>
      <rPr>
        <i val="true"/>
        <sz val="9"/>
        <color rgb="FF555555"/>
        <rFont val="Noto Sans CJK SC"/>
        <family val="2"/>
      </rPr>
      <t xml:space="preserve">프로젝트 </t>
    </r>
    <r>
      <rPr>
        <i val="true"/>
        <sz val="9"/>
        <color rgb="FF555555"/>
        <rFont val="Arial"/>
        <family val="0"/>
        <charset val="1"/>
      </rPr>
      <t xml:space="preserve">20% | </t>
    </r>
    <r>
      <rPr>
        <i val="true"/>
        <sz val="9"/>
        <color rgb="FF555555"/>
        <rFont val="Noto Sans CJK SC"/>
        <family val="2"/>
      </rPr>
      <t xml:space="preserve">컨설팅 </t>
    </r>
    <r>
      <rPr>
        <i val="true"/>
        <sz val="9"/>
        <color rgb="FF555555"/>
        <rFont val="Arial"/>
        <family val="0"/>
        <charset val="1"/>
      </rPr>
      <t xml:space="preserve">10%</t>
    </r>
  </si>
  <si>
    <r>
      <rPr>
        <b val="true"/>
        <sz val="10"/>
        <color rgb="FF000000"/>
        <rFont val="Arial"/>
        <family val="0"/>
        <charset val="1"/>
      </rPr>
      <t xml:space="preserve">3. </t>
    </r>
    <r>
      <rPr>
        <b val="true"/>
        <sz val="10"/>
        <color rgb="FF000000"/>
        <rFont val="Noto Sans CJK SC"/>
        <family val="2"/>
      </rPr>
      <t xml:space="preserve">데이터 그린하우스</t>
    </r>
  </si>
  <si>
    <t xml:space="preserve">17.2x</t>
  </si>
  <si>
    <t xml:space="preserve">68%</t>
  </si>
  <si>
    <r>
      <rPr>
        <i val="true"/>
        <sz val="9"/>
        <color rgb="FF555555"/>
        <rFont val="Arial"/>
        <family val="0"/>
        <charset val="1"/>
      </rPr>
      <t xml:space="preserve">SaaS 40% | </t>
    </r>
    <r>
      <rPr>
        <i val="true"/>
        <sz val="9"/>
        <color rgb="FF555555"/>
        <rFont val="Noto Sans CJK SC"/>
        <family val="2"/>
      </rPr>
      <t xml:space="preserve">온프렘 </t>
    </r>
    <r>
      <rPr>
        <i val="true"/>
        <sz val="9"/>
        <color rgb="FF555555"/>
        <rFont val="Arial"/>
        <family val="0"/>
        <charset val="1"/>
      </rPr>
      <t xml:space="preserve">40% | </t>
    </r>
    <r>
      <rPr>
        <i val="true"/>
        <sz val="9"/>
        <color rgb="FF555555"/>
        <rFont val="Noto Sans CJK SC"/>
        <family val="2"/>
      </rPr>
      <t xml:space="preserve">조달 </t>
    </r>
    <r>
      <rPr>
        <i val="true"/>
        <sz val="9"/>
        <color rgb="FF555555"/>
        <rFont val="Arial"/>
        <family val="0"/>
        <charset val="1"/>
      </rPr>
      <t xml:space="preserve">10% | </t>
    </r>
    <r>
      <rPr>
        <i val="true"/>
        <sz val="9"/>
        <color rgb="FF555555"/>
        <rFont val="Noto Sans CJK SC"/>
        <family val="2"/>
      </rPr>
      <t xml:space="preserve">프로젝트 </t>
    </r>
    <r>
      <rPr>
        <i val="true"/>
        <sz val="9"/>
        <color rgb="FF555555"/>
        <rFont val="Arial"/>
        <family val="0"/>
        <charset val="1"/>
      </rPr>
      <t xml:space="preserve">10%</t>
    </r>
  </si>
  <si>
    <r>
      <rPr>
        <b val="true"/>
        <sz val="10"/>
        <color rgb="FF000000"/>
        <rFont val="Arial"/>
        <family val="0"/>
        <charset val="1"/>
      </rPr>
      <t xml:space="preserve">4. </t>
    </r>
    <r>
      <rPr>
        <b val="true"/>
        <sz val="10"/>
        <color rgb="FF000000"/>
        <rFont val="Noto Sans CJK SC"/>
        <family val="2"/>
      </rPr>
      <t xml:space="preserve">페블로심</t>
    </r>
  </si>
  <si>
    <t xml:space="preserve">16.5x</t>
  </si>
  <si>
    <t xml:space="preserve">70%</t>
  </si>
  <si>
    <r>
      <rPr>
        <i val="true"/>
        <sz val="9"/>
        <color rgb="FF555555"/>
        <rFont val="Arial"/>
        <family val="0"/>
        <charset val="1"/>
      </rPr>
      <t xml:space="preserve">SaaS 27% | </t>
    </r>
    <r>
      <rPr>
        <i val="true"/>
        <sz val="9"/>
        <color rgb="FF555555"/>
        <rFont val="Noto Sans CJK SC"/>
        <family val="2"/>
      </rPr>
      <t xml:space="preserve">온프렘 </t>
    </r>
    <r>
      <rPr>
        <i val="true"/>
        <sz val="9"/>
        <color rgb="FF555555"/>
        <rFont val="Arial"/>
        <family val="0"/>
        <charset val="1"/>
      </rPr>
      <t xml:space="preserve">27% | </t>
    </r>
    <r>
      <rPr>
        <i val="true"/>
        <sz val="9"/>
        <color rgb="FF555555"/>
        <rFont val="Noto Sans CJK SC"/>
        <family val="2"/>
      </rPr>
      <t xml:space="preserve">조달 </t>
    </r>
    <r>
      <rPr>
        <i val="true"/>
        <sz val="9"/>
        <color rgb="FF555555"/>
        <rFont val="Arial"/>
        <family val="0"/>
        <charset val="1"/>
      </rPr>
      <t xml:space="preserve">18% | </t>
    </r>
    <r>
      <rPr>
        <i val="true"/>
        <sz val="9"/>
        <color rgb="FF555555"/>
        <rFont val="Noto Sans CJK SC"/>
        <family val="2"/>
      </rPr>
      <t xml:space="preserve">프로젝트 </t>
    </r>
    <r>
      <rPr>
        <i val="true"/>
        <sz val="9"/>
        <color rgb="FF555555"/>
        <rFont val="Arial"/>
        <family val="0"/>
        <charset val="1"/>
      </rPr>
      <t xml:space="preserve">27%</t>
    </r>
  </si>
  <si>
    <r>
      <rPr>
        <b val="true"/>
        <sz val="10"/>
        <color rgb="FF000000"/>
        <rFont val="Arial"/>
        <family val="0"/>
        <charset val="1"/>
      </rPr>
      <t xml:space="preserve">5. KOLAS </t>
    </r>
    <r>
      <rPr>
        <b val="true"/>
        <sz val="10"/>
        <color rgb="FF000000"/>
        <rFont val="Noto Sans CJK SC"/>
        <family val="2"/>
      </rPr>
      <t xml:space="preserve">인증사업</t>
    </r>
  </si>
  <si>
    <t xml:space="preserve">22.0x</t>
  </si>
  <si>
    <t xml:space="preserve">85%</t>
  </si>
  <si>
    <r>
      <rPr>
        <i val="true"/>
        <sz val="9"/>
        <color rgb="FF555555"/>
        <rFont val="Noto Sans CJK SC"/>
        <family val="2"/>
      </rPr>
      <t xml:space="preserve">인증 수수료 </t>
    </r>
    <r>
      <rPr>
        <i val="true"/>
        <sz val="9"/>
        <color rgb="FF555555"/>
        <rFont val="Arial"/>
        <family val="0"/>
        <charset val="1"/>
      </rPr>
      <t xml:space="preserve">100% (ISO </t>
    </r>
    <r>
      <rPr>
        <i val="true"/>
        <sz val="9"/>
        <color rgb="FF555555"/>
        <rFont val="Noto Sans CJK SC"/>
        <family val="2"/>
      </rPr>
      <t xml:space="preserve">기반</t>
    </r>
    <r>
      <rPr>
        <i val="true"/>
        <sz val="9"/>
        <color rgb="FF555555"/>
        <rFont val="Arial"/>
        <family val="0"/>
        <charset val="1"/>
      </rPr>
      <t xml:space="preserve">, </t>
    </r>
    <r>
      <rPr>
        <i val="true"/>
        <sz val="9"/>
        <color rgb="FF555555"/>
        <rFont val="Noto Sans CJK SC"/>
        <family val="2"/>
      </rPr>
      <t xml:space="preserve">규제 강화 시 구조적 수요 증가</t>
    </r>
    <r>
      <rPr>
        <i val="true"/>
        <sz val="9"/>
        <color rgb="FF555555"/>
        <rFont val="Arial"/>
        <family val="0"/>
        <charset val="1"/>
      </rPr>
      <t xml:space="preserve">)</t>
    </r>
  </si>
  <si>
    <r>
      <rPr>
        <b val="true"/>
        <sz val="10"/>
        <color rgb="FF000000"/>
        <rFont val="Arial"/>
        <family val="0"/>
        <charset val="1"/>
      </rPr>
      <t xml:space="preserve">6. AI Greenhouse
   + </t>
    </r>
    <r>
      <rPr>
        <b val="true"/>
        <sz val="10"/>
        <color rgb="FF000000"/>
        <rFont val="Noto Sans CJK SC"/>
        <family val="2"/>
      </rPr>
      <t xml:space="preserve">신규 제품군</t>
    </r>
  </si>
  <si>
    <t xml:space="preserve">13.1x</t>
  </si>
  <si>
    <t xml:space="preserve">65%</t>
  </si>
  <si>
    <r>
      <rPr>
        <i val="true"/>
        <sz val="9"/>
        <color rgb="FF555555"/>
        <rFont val="Arial"/>
        <family val="0"/>
        <charset val="1"/>
      </rPr>
      <t xml:space="preserve">SaaS 80% | </t>
    </r>
    <r>
      <rPr>
        <i val="true"/>
        <sz val="9"/>
        <color rgb="FF555555"/>
        <rFont val="Noto Sans CJK SC"/>
        <family val="2"/>
      </rPr>
      <t xml:space="preserve">프로젝트 </t>
    </r>
    <r>
      <rPr>
        <i val="true"/>
        <sz val="9"/>
        <color rgb="FF555555"/>
        <rFont val="Arial"/>
        <family val="0"/>
        <charset val="1"/>
      </rPr>
      <t xml:space="preserve">20% (2028~ </t>
    </r>
    <r>
      <rPr>
        <i val="true"/>
        <sz val="9"/>
        <color rgb="FF555555"/>
        <rFont val="Noto Sans CJK SC"/>
        <family val="2"/>
      </rPr>
      <t xml:space="preserve">출시</t>
    </r>
    <r>
      <rPr>
        <i val="true"/>
        <sz val="9"/>
        <color rgb="FF555555"/>
        <rFont val="Arial"/>
        <family val="0"/>
        <charset val="1"/>
      </rPr>
      <t xml:space="preserve">, </t>
    </r>
    <r>
      <rPr>
        <i val="true"/>
        <sz val="9"/>
        <color rgb="FF555555"/>
        <rFont val="Noto Sans CJK SC"/>
        <family val="2"/>
      </rPr>
      <t xml:space="preserve">초기 성장 단계</t>
    </r>
    <r>
      <rPr>
        <i val="true"/>
        <sz val="9"/>
        <color rgb="FF555555"/>
        <rFont val="Arial"/>
        <family val="0"/>
        <charset val="1"/>
      </rPr>
      <t xml:space="preserve">)</t>
    </r>
  </si>
  <si>
    <r>
      <rPr>
        <sz val="9"/>
        <color rgb="FF555555"/>
        <rFont val="Noto Sans CJK SC"/>
        <family val="2"/>
      </rPr>
      <t xml:space="preserve">가중평균 </t>
    </r>
    <r>
      <rPr>
        <sz val="9"/>
        <color rgb="FF555555"/>
        <rFont val="Arial"/>
        <family val="0"/>
        <charset val="1"/>
      </rPr>
      <t xml:space="preserve">ARPU 40</t>
    </r>
    <r>
      <rPr>
        <sz val="9"/>
        <color rgb="FF555555"/>
        <rFont val="Noto Sans CJK SC"/>
        <family val="2"/>
      </rPr>
      <t xml:space="preserve">백만</t>
    </r>
    <r>
      <rPr>
        <sz val="9"/>
        <color rgb="FF555555"/>
        <rFont val="Arial"/>
        <family val="0"/>
        <charset val="1"/>
      </rPr>
      <t xml:space="preserve">, </t>
    </r>
    <r>
      <rPr>
        <sz val="9"/>
        <color rgb="FF555555"/>
        <rFont val="Noto Sans CJK SC"/>
        <family val="2"/>
      </rPr>
      <t xml:space="preserve">온프렘 비중 약 </t>
    </r>
    <r>
      <rPr>
        <sz val="9"/>
        <color rgb="FF555555"/>
        <rFont val="Arial"/>
        <family val="0"/>
        <charset val="1"/>
      </rPr>
      <t xml:space="preserve">25% → </t>
    </r>
    <r>
      <rPr>
        <sz val="9"/>
        <color rgb="FF555555"/>
        <rFont val="Noto Sans CJK SC"/>
        <family val="2"/>
      </rPr>
      <t xml:space="preserve">고</t>
    </r>
    <r>
      <rPr>
        <sz val="9"/>
        <color rgb="FF555555"/>
        <rFont val="Arial"/>
        <family val="0"/>
        <charset val="1"/>
      </rPr>
      <t xml:space="preserve">ARPU </t>
    </r>
    <r>
      <rPr>
        <sz val="9"/>
        <color rgb="FF555555"/>
        <rFont val="Noto Sans CJK SC"/>
        <family val="2"/>
      </rPr>
      <t xml:space="preserve">구조</t>
    </r>
  </si>
  <si>
    <r>
      <rPr>
        <b val="true"/>
        <sz val="11"/>
        <color rgb="FF1A1A2E"/>
        <rFont val="Noto Sans CJK SC"/>
        <family val="2"/>
      </rPr>
      <t xml:space="preserve">▎ 제품별 가격 구조 </t>
    </r>
    <r>
      <rPr>
        <b val="true"/>
        <sz val="11"/>
        <color rgb="FF1A1A2E"/>
        <rFont val="Arial"/>
        <family val="0"/>
        <charset val="1"/>
      </rPr>
      <t xml:space="preserve">(</t>
    </r>
    <r>
      <rPr>
        <b val="true"/>
        <sz val="11"/>
        <color rgb="FF1A1A2E"/>
        <rFont val="Noto Sans CJK SC"/>
        <family val="2"/>
      </rPr>
      <t xml:space="preserve">채널별 단가</t>
    </r>
    <r>
      <rPr>
        <b val="true"/>
        <sz val="11"/>
        <color rgb="FF1A1A2E"/>
        <rFont val="Arial"/>
        <family val="0"/>
        <charset val="1"/>
      </rPr>
      <t xml:space="preserve">)</t>
    </r>
  </si>
  <si>
    <t xml:space="preserve">제품</t>
  </si>
  <si>
    <t xml:space="preserve">온프렘 설치비</t>
  </si>
  <si>
    <r>
      <rPr>
        <b val="true"/>
        <sz val="10"/>
        <color rgb="FFFFFFFF"/>
        <rFont val="Noto Sans CJK SC"/>
        <family val="2"/>
      </rPr>
      <t xml:space="preserve">연 유지보수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설치비의 </t>
    </r>
    <r>
      <rPr>
        <b val="true"/>
        <sz val="10"/>
        <color rgb="FFFFFFFF"/>
        <rFont val="Arial"/>
        <family val="0"/>
        <charset val="1"/>
      </rPr>
      <t xml:space="preserve">16%)</t>
    </r>
  </si>
  <si>
    <r>
      <rPr>
        <b val="true"/>
        <sz val="10"/>
        <color rgb="FFFFFFFF"/>
        <rFont val="Arial"/>
        <family val="0"/>
        <charset val="1"/>
      </rPr>
      <t xml:space="preserve">SaaS </t>
    </r>
    <r>
      <rPr>
        <b val="true"/>
        <sz val="10"/>
        <color rgb="FFFFFFFF"/>
        <rFont val="Noto Sans CJK SC"/>
        <family val="2"/>
      </rPr>
      <t xml:space="preserve">연간</t>
    </r>
  </si>
  <si>
    <t xml:space="preserve">조달 납품</t>
  </si>
  <si>
    <r>
      <rPr>
        <b val="true"/>
        <sz val="10"/>
        <color rgb="FFFFFFFF"/>
        <rFont val="Noto Sans CJK SC"/>
        <family val="2"/>
      </rPr>
      <t xml:space="preserve">프로젝트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건당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</si>
  <si>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비고</t>
  </si>
  <si>
    <t xml:space="preserve">데이터클리닉</t>
  </si>
  <si>
    <r>
      <rPr>
        <sz val="10"/>
        <color rgb="FF0000FF"/>
        <rFont val="Arial"/>
        <family val="0"/>
        <charset val="1"/>
      </rPr>
      <t xml:space="preserve">2.5</t>
    </r>
    <r>
      <rPr>
        <sz val="10"/>
        <color rgb="FF0000FF"/>
        <rFont val="Noto Sans CJK SC"/>
        <family val="2"/>
      </rPr>
      <t xml:space="preserve">억</t>
    </r>
    <r>
      <rPr>
        <sz val="10"/>
        <color rgb="FF0000FF"/>
        <rFont val="Arial"/>
        <family val="0"/>
        <charset val="1"/>
      </rPr>
      <t xml:space="preserve">+</t>
    </r>
  </si>
  <si>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천만</t>
    </r>
  </si>
  <si>
    <r>
      <rPr>
        <sz val="10"/>
        <color rgb="FF0000FF"/>
        <rFont val="Arial"/>
        <family val="0"/>
        <charset val="1"/>
      </rPr>
      <t xml:space="preserve">5</t>
    </r>
    <r>
      <rPr>
        <sz val="10"/>
        <color rgb="FF0000FF"/>
        <rFont val="Noto Sans CJK SC"/>
        <family val="2"/>
      </rPr>
      <t xml:space="preserve">천만</t>
    </r>
  </si>
  <si>
    <r>
      <rPr>
        <sz val="10"/>
        <color rgb="FF0000FF"/>
        <rFont val="Arial"/>
        <family val="0"/>
        <charset val="1"/>
      </rPr>
      <t xml:space="preserve">3~8</t>
    </r>
    <r>
      <rPr>
        <sz val="10"/>
        <color rgb="FF0000FF"/>
        <rFont val="Noto Sans CJK SC"/>
        <family val="2"/>
      </rPr>
      <t xml:space="preserve">천만</t>
    </r>
  </si>
  <si>
    <r>
      <rPr>
        <sz val="9"/>
        <color rgb="FF555555"/>
        <rFont val="Noto Sans CJK SC"/>
        <family val="2"/>
      </rPr>
      <t xml:space="preserve">핵심 캐시카우</t>
    </r>
    <r>
      <rPr>
        <sz val="9"/>
        <color rgb="FF555555"/>
        <rFont val="Arial"/>
        <family val="0"/>
        <charset val="1"/>
      </rPr>
      <t xml:space="preserve">, </t>
    </r>
    <r>
      <rPr>
        <sz val="9"/>
        <color rgb="FF555555"/>
        <rFont val="Noto Sans CJK SC"/>
        <family val="2"/>
      </rPr>
      <t xml:space="preserve">전 채널 커버</t>
    </r>
  </si>
  <si>
    <t xml:space="preserve">페블로스코프</t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</si>
  <si>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백만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</si>
  <si>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천만</t>
    </r>
  </si>
  <si>
    <r>
      <rPr>
        <sz val="10"/>
        <color rgb="FF0000FF"/>
        <rFont val="Arial"/>
        <family val="0"/>
        <charset val="1"/>
      </rPr>
      <t xml:space="preserve">1~3</t>
    </r>
    <r>
      <rPr>
        <sz val="10"/>
        <color rgb="FF0000FF"/>
        <rFont val="Noto Sans CJK SC"/>
        <family val="2"/>
      </rPr>
      <t xml:space="preserve">천만</t>
    </r>
  </si>
  <si>
    <r>
      <rPr>
        <sz val="9"/>
        <color rgb="FF555555"/>
        <rFont val="Noto Sans CJK SC"/>
        <family val="2"/>
      </rPr>
      <t xml:space="preserve">설명가능성 도구</t>
    </r>
    <r>
      <rPr>
        <sz val="9"/>
        <color rgb="FF555555"/>
        <rFont val="Arial"/>
        <family val="0"/>
        <charset val="1"/>
      </rPr>
      <t xml:space="preserve">, </t>
    </r>
    <r>
      <rPr>
        <sz val="9"/>
        <color rgb="FF555555"/>
        <rFont val="Noto Sans CJK SC"/>
        <family val="2"/>
      </rPr>
      <t xml:space="preserve">번들 시너지</t>
    </r>
  </si>
  <si>
    <t xml:space="preserve">데이터 그린하우스</t>
  </si>
  <si>
    <r>
      <rPr>
        <sz val="10"/>
        <color rgb="FF0000FF"/>
        <rFont val="Arial"/>
        <family val="0"/>
        <charset val="1"/>
      </rPr>
      <t xml:space="preserve">5</t>
    </r>
    <r>
      <rPr>
        <sz val="10"/>
        <color rgb="FF0000FF"/>
        <rFont val="Noto Sans CJK SC"/>
        <family val="2"/>
      </rPr>
      <t xml:space="preserve">억</t>
    </r>
    <r>
      <rPr>
        <sz val="10"/>
        <color rgb="FF0000FF"/>
        <rFont val="Arial"/>
        <family val="0"/>
        <charset val="1"/>
      </rPr>
      <t xml:space="preserve">+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</si>
  <si>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천만</t>
    </r>
  </si>
  <si>
    <r>
      <rPr>
        <sz val="10"/>
        <color rgb="FF0000FF"/>
        <rFont val="Arial"/>
        <family val="0"/>
        <charset val="1"/>
      </rPr>
      <t xml:space="preserve">1~3</t>
    </r>
    <r>
      <rPr>
        <sz val="10"/>
        <color rgb="FF0000FF"/>
        <rFont val="Noto Sans CJK SC"/>
        <family val="2"/>
      </rPr>
      <t xml:space="preserve">억</t>
    </r>
  </si>
  <si>
    <r>
      <rPr>
        <sz val="9"/>
        <color rgb="FF555555"/>
        <rFont val="Noto Sans CJK SC"/>
        <family val="2"/>
      </rPr>
      <t xml:space="preserve">플랫폼 록인</t>
    </r>
    <r>
      <rPr>
        <sz val="9"/>
        <color rgb="FF555555"/>
        <rFont val="Arial"/>
        <family val="0"/>
        <charset val="1"/>
      </rPr>
      <t xml:space="preserve">, </t>
    </r>
    <r>
      <rPr>
        <sz val="9"/>
        <color rgb="FF555555"/>
        <rFont val="Noto Sans CJK SC"/>
        <family val="2"/>
      </rPr>
      <t xml:space="preserve">최고 단가</t>
    </r>
  </si>
  <si>
    <t xml:space="preserve">페블로심</t>
  </si>
  <si>
    <r>
      <rPr>
        <sz val="10"/>
        <color rgb="FF0000FF"/>
        <rFont val="Arial"/>
        <family val="0"/>
        <charset val="1"/>
      </rPr>
      <t xml:space="preserve">5</t>
    </r>
    <r>
      <rPr>
        <sz val="10"/>
        <color rgb="FF0000FF"/>
        <rFont val="Noto Sans CJK SC"/>
        <family val="2"/>
      </rPr>
      <t xml:space="preserve">천</t>
    </r>
    <r>
      <rPr>
        <sz val="10"/>
        <color rgb="FF0000FF"/>
        <rFont val="Arial"/>
        <family val="0"/>
        <charset val="1"/>
      </rPr>
      <t xml:space="preserve">~1.5</t>
    </r>
    <r>
      <rPr>
        <sz val="10"/>
        <color rgb="FF0000FF"/>
        <rFont val="Noto Sans CJK SC"/>
        <family val="2"/>
      </rPr>
      <t xml:space="preserve">억</t>
    </r>
  </si>
  <si>
    <r>
      <rPr>
        <sz val="9"/>
        <color rgb="FF555555"/>
        <rFont val="Noto Sans CJK SC"/>
        <family val="2"/>
      </rPr>
      <t xml:space="preserve">합성데이터</t>
    </r>
    <r>
      <rPr>
        <sz val="9"/>
        <color rgb="FF555555"/>
        <rFont val="Arial"/>
        <family val="0"/>
        <charset val="1"/>
      </rPr>
      <t xml:space="preserve">, </t>
    </r>
    <r>
      <rPr>
        <sz val="9"/>
        <color rgb="FF555555"/>
        <rFont val="Noto Sans CJK SC"/>
        <family val="2"/>
      </rPr>
      <t xml:space="preserve">글로벌 킬러</t>
    </r>
  </si>
  <si>
    <r>
      <rPr>
        <b val="true"/>
        <sz val="10"/>
        <color rgb="FF000000"/>
        <rFont val="Arial"/>
        <family val="0"/>
        <charset val="1"/>
      </rPr>
      <t xml:space="preserve">KOLAS </t>
    </r>
    <r>
      <rPr>
        <b val="true"/>
        <sz val="10"/>
        <color rgb="FF000000"/>
        <rFont val="Noto Sans CJK SC"/>
        <family val="2"/>
      </rPr>
      <t xml:space="preserve">인증</t>
    </r>
  </si>
  <si>
    <t xml:space="preserve">—</t>
  </si>
  <si>
    <r>
      <rPr>
        <sz val="10"/>
        <color rgb="FF0000FF"/>
        <rFont val="Arial"/>
        <family val="0"/>
        <charset val="1"/>
      </rPr>
      <t xml:space="preserve">1~3</t>
    </r>
    <r>
      <rPr>
        <sz val="10"/>
        <color rgb="FF0000FF"/>
        <rFont val="Noto Sans CJK SC"/>
        <family val="2"/>
      </rPr>
      <t xml:space="preserve">천만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건</t>
    </r>
  </si>
  <si>
    <t xml:space="preserve">규제 기반 고마진 반복</t>
  </si>
  <si>
    <t xml:space="preserve">AI Greenhouse</t>
  </si>
  <si>
    <t xml:space="preserve">TBD</t>
  </si>
  <si>
    <r>
      <rPr>
        <sz val="10"/>
        <color rgb="FF0000FF"/>
        <rFont val="Arial"/>
        <family val="0"/>
        <charset val="1"/>
      </rPr>
      <t xml:space="preserve">3~5</t>
    </r>
    <r>
      <rPr>
        <sz val="10"/>
        <color rgb="FF0000FF"/>
        <rFont val="Noto Sans CJK SC"/>
        <family val="2"/>
      </rPr>
      <t xml:space="preserve">천만</t>
    </r>
  </si>
  <si>
    <r>
      <rPr>
        <sz val="9"/>
        <color rgb="FF555555"/>
        <rFont val="Arial"/>
        <family val="0"/>
        <charset val="1"/>
      </rPr>
      <t xml:space="preserve">2028~ </t>
    </r>
    <r>
      <rPr>
        <sz val="9"/>
        <color rgb="FF555555"/>
        <rFont val="Noto Sans CJK SC"/>
        <family val="2"/>
      </rPr>
      <t xml:space="preserve">출시 예정</t>
    </r>
  </si>
  <si>
    <t xml:space="preserve">▎ 번들 판매 시나리오 예시</t>
  </si>
  <si>
    <t xml:space="preserve">고객 유형</t>
  </si>
  <si>
    <t xml:space="preserve">제품 구성</t>
  </si>
  <si>
    <t xml:space="preserve">개별 합계</t>
  </si>
  <si>
    <t xml:space="preserve">번들 가격</t>
  </si>
  <si>
    <t xml:space="preserve">연 유지보수</t>
  </si>
  <si>
    <r>
      <rPr>
        <b val="true"/>
        <sz val="10"/>
        <color rgb="FF000000"/>
        <rFont val="Noto Sans CJK SC"/>
        <family val="2"/>
      </rPr>
      <t xml:space="preserve">육군 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온프렘</t>
    </r>
    <r>
      <rPr>
        <b val="true"/>
        <sz val="10"/>
        <color rgb="FF000000"/>
        <rFont val="Arial"/>
        <family val="0"/>
        <charset val="1"/>
      </rPr>
      <t xml:space="preserve">)</t>
    </r>
  </si>
  <si>
    <t xml:space="preserve">DC + PS + DG</t>
  </si>
  <si>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억</t>
    </r>
  </si>
  <si>
    <r>
      <rPr>
        <sz val="10"/>
        <color rgb="FF0000FF"/>
        <rFont val="Arial"/>
        <family val="0"/>
        <charset val="1"/>
      </rPr>
      <t xml:space="preserve">6.5~7</t>
    </r>
    <r>
      <rPr>
        <sz val="10"/>
        <color rgb="FF0000FF"/>
        <rFont val="Noto Sans CJK SC"/>
        <family val="2"/>
      </rPr>
      <t xml:space="preserve">억</t>
    </r>
  </si>
  <si>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억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년</t>
    </r>
  </si>
  <si>
    <r>
      <rPr>
        <b val="true"/>
        <sz val="10"/>
        <color rgb="FF000000"/>
        <rFont val="Noto Sans CJK SC"/>
        <family val="2"/>
      </rPr>
      <t xml:space="preserve">제조기업 </t>
    </r>
    <r>
      <rPr>
        <b val="true"/>
        <sz val="10"/>
        <color rgb="FF000000"/>
        <rFont val="Arial"/>
        <family val="0"/>
        <charset val="1"/>
      </rPr>
      <t xml:space="preserve">(SaaS)</t>
    </r>
  </si>
  <si>
    <t xml:space="preserve">DC + DG + PSim</t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</si>
  <si>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억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년</t>
    </r>
  </si>
  <si>
    <r>
      <rPr>
        <sz val="10"/>
        <color rgb="FF0000FF"/>
        <rFont val="Arial"/>
        <family val="0"/>
        <charset val="1"/>
      </rPr>
      <t xml:space="preserve">1.6~1.8</t>
    </r>
    <r>
      <rPr>
        <sz val="10"/>
        <color rgb="FF0000FF"/>
        <rFont val="Noto Sans CJK SC"/>
        <family val="2"/>
      </rPr>
      <t xml:space="preserve">억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년</t>
    </r>
  </si>
  <si>
    <r>
      <rPr>
        <b val="true"/>
        <sz val="10"/>
        <color rgb="FF000000"/>
        <rFont val="Noto Sans CJK SC"/>
        <family val="2"/>
      </rPr>
      <t xml:space="preserve">글로벌 기업 </t>
    </r>
    <r>
      <rPr>
        <b val="true"/>
        <sz val="10"/>
        <color rgb="FF000000"/>
        <rFont val="Arial"/>
        <family val="0"/>
        <charset val="1"/>
      </rPr>
      <t xml:space="preserve">(SaaS)</t>
    </r>
  </si>
  <si>
    <t xml:space="preserve">DC + PS + DG + PSim</t>
  </si>
  <si>
    <r>
      <rPr>
        <sz val="10"/>
        <color rgb="FF000000"/>
        <rFont val="Arial"/>
        <family val="0"/>
        <charset val="1"/>
      </rPr>
      <t xml:space="preserve">2.6</t>
    </r>
    <r>
      <rPr>
        <sz val="10"/>
        <color rgb="FF000000"/>
        <rFont val="Noto Sans CJK SC"/>
        <family val="2"/>
      </rPr>
      <t xml:space="preserve">억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년</t>
    </r>
  </si>
  <si>
    <r>
      <rPr>
        <sz val="10"/>
        <color rgb="FF0000FF"/>
        <rFont val="Arial"/>
        <family val="0"/>
        <charset val="1"/>
      </rPr>
      <t xml:space="preserve">2~2.2</t>
    </r>
    <r>
      <rPr>
        <sz val="10"/>
        <color rgb="FF0000FF"/>
        <rFont val="Noto Sans CJK SC"/>
        <family val="2"/>
      </rPr>
      <t xml:space="preserve">억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년</t>
    </r>
  </si>
  <si>
    <r>
      <rPr>
        <b val="true"/>
        <sz val="10"/>
        <color rgb="FF000000"/>
        <rFont val="Noto Sans CJK SC"/>
        <family val="2"/>
      </rPr>
      <t xml:space="preserve">공공 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조달</t>
    </r>
    <r>
      <rPr>
        <b val="true"/>
        <sz val="10"/>
        <color rgb="FF000000"/>
        <rFont val="Arial"/>
        <family val="0"/>
        <charset val="1"/>
      </rPr>
      <t xml:space="preserve">)</t>
    </r>
  </si>
  <si>
    <t xml:space="preserve">DC + PS</t>
  </si>
  <si>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천만</t>
    </r>
  </si>
  <si>
    <r>
      <rPr>
        <b val="true"/>
        <sz val="11"/>
        <color rgb="FF1A1A2E"/>
        <rFont val="Noto Sans CJK SC"/>
        <family val="2"/>
      </rPr>
      <t xml:space="preserve">▎ 온프렘 반복매출 구조 </t>
    </r>
    <r>
      <rPr>
        <b val="true"/>
        <sz val="11"/>
        <color rgb="FF1A1A2E"/>
        <rFont val="Arial"/>
        <family val="0"/>
        <charset val="1"/>
      </rPr>
      <t xml:space="preserve">(</t>
    </r>
    <r>
      <rPr>
        <b val="true"/>
        <sz val="11"/>
        <color rgb="FF1A1A2E"/>
        <rFont val="Noto Sans CJK SC"/>
        <family val="2"/>
      </rPr>
      <t xml:space="preserve">유지보수 </t>
    </r>
    <r>
      <rPr>
        <b val="true"/>
        <sz val="11"/>
        <color rgb="FF1A1A2E"/>
        <rFont val="Arial"/>
        <family val="0"/>
        <charset val="1"/>
      </rPr>
      <t xml:space="preserve">= </t>
    </r>
    <r>
      <rPr>
        <b val="true"/>
        <sz val="11"/>
        <color rgb="FF1A1A2E"/>
        <rFont val="Noto Sans CJK SC"/>
        <family val="2"/>
      </rPr>
      <t xml:space="preserve">설치비의 </t>
    </r>
    <r>
      <rPr>
        <b val="true"/>
        <sz val="11"/>
        <color rgb="FF1A1A2E"/>
        <rFont val="Arial"/>
        <family val="0"/>
        <charset val="1"/>
      </rPr>
      <t xml:space="preserve">16%/</t>
    </r>
    <r>
      <rPr>
        <b val="true"/>
        <sz val="11"/>
        <color rgb="FF1A1A2E"/>
        <rFont val="Noto Sans CJK SC"/>
        <family val="2"/>
      </rPr>
      <t xml:space="preserve">년</t>
    </r>
    <r>
      <rPr>
        <b val="true"/>
        <sz val="11"/>
        <color rgb="FF1A1A2E"/>
        <rFont val="Arial"/>
        <family val="0"/>
        <charset val="1"/>
      </rPr>
      <t xml:space="preserve">)</t>
    </r>
  </si>
  <si>
    <r>
      <rPr>
        <b val="true"/>
        <sz val="10"/>
        <color rgb="FF000000"/>
        <rFont val="Noto Sans CJK SC"/>
        <family val="2"/>
      </rPr>
      <t xml:space="preserve">예</t>
    </r>
    <r>
      <rPr>
        <b val="true"/>
        <sz val="10"/>
        <color rgb="FF000000"/>
        <rFont val="Arial"/>
        <family val="0"/>
        <charset val="1"/>
      </rPr>
      <t xml:space="preserve">: </t>
    </r>
    <r>
      <rPr>
        <b val="true"/>
        <sz val="10"/>
        <color rgb="FF000000"/>
        <rFont val="Noto Sans CJK SC"/>
        <family val="2"/>
      </rPr>
      <t xml:space="preserve">육군 번들 온프렘 도입</t>
    </r>
  </si>
  <si>
    <r>
      <rPr>
        <sz val="10"/>
        <color rgb="FF000000"/>
        <rFont val="Noto Sans CJK SC"/>
        <family val="2"/>
      </rPr>
      <t xml:space="preserve">도입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년차</t>
    </r>
  </si>
  <si>
    <r>
      <rPr>
        <sz val="9"/>
        <color rgb="FF555555"/>
        <rFont val="Noto Sans CJK SC"/>
        <family val="2"/>
      </rPr>
      <t xml:space="preserve">설치비 </t>
    </r>
    <r>
      <rPr>
        <sz val="9"/>
        <color rgb="FF555555"/>
        <rFont val="Arial"/>
        <family val="0"/>
        <charset val="1"/>
      </rPr>
      <t xml:space="preserve">6.5</t>
    </r>
    <r>
      <rPr>
        <sz val="9"/>
        <color rgb="FF555555"/>
        <rFont val="Noto Sans CJK SC"/>
        <family val="2"/>
      </rPr>
      <t xml:space="preserve">억 </t>
    </r>
    <r>
      <rPr>
        <sz val="9"/>
        <color rgb="FF555555"/>
        <rFont val="Arial"/>
        <family val="0"/>
        <charset val="1"/>
      </rPr>
      <t xml:space="preserve">+ </t>
    </r>
    <r>
      <rPr>
        <sz val="9"/>
        <color rgb="FF555555"/>
        <rFont val="Noto Sans CJK SC"/>
        <family val="2"/>
      </rPr>
      <t xml:space="preserve">유지보수 </t>
    </r>
    <r>
      <rPr>
        <sz val="9"/>
        <color rgb="FF555555"/>
        <rFont val="Arial"/>
        <family val="0"/>
        <charset val="1"/>
      </rPr>
      <t xml:space="preserve">1.3</t>
    </r>
    <r>
      <rPr>
        <sz val="9"/>
        <color rgb="FF555555"/>
        <rFont val="Noto Sans CJK SC"/>
        <family val="2"/>
      </rPr>
      <t xml:space="preserve">억</t>
    </r>
  </si>
  <si>
    <r>
      <rPr>
        <b val="true"/>
        <sz val="10"/>
        <color rgb="FFFF6600"/>
        <rFont val="Arial"/>
        <family val="0"/>
        <charset val="1"/>
      </rPr>
      <t xml:space="preserve">7.8</t>
    </r>
    <r>
      <rPr>
        <b val="true"/>
        <sz val="10"/>
        <color rgb="FFFF6600"/>
        <rFont val="Noto Sans CJK SC"/>
        <family val="2"/>
      </rPr>
      <t xml:space="preserve">억</t>
    </r>
  </si>
  <si>
    <r>
      <rPr>
        <sz val="9"/>
        <color rgb="FF555555"/>
        <rFont val="Noto Sans CJK SC"/>
        <family val="2"/>
      </rPr>
      <t xml:space="preserve">일시 </t>
    </r>
    <r>
      <rPr>
        <sz val="9"/>
        <color rgb="FF555555"/>
        <rFont val="Arial"/>
        <family val="0"/>
        <charset val="1"/>
      </rPr>
      <t xml:space="preserve">+ </t>
    </r>
    <r>
      <rPr>
        <sz val="9"/>
        <color rgb="FF555555"/>
        <rFont val="Noto Sans CJK SC"/>
        <family val="2"/>
      </rPr>
      <t xml:space="preserve">반복</t>
    </r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</si>
  <si>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년차</t>
    </r>
  </si>
  <si>
    <r>
      <rPr>
        <sz val="9"/>
        <color rgb="FF555555"/>
        <rFont val="Noto Sans CJK SC"/>
        <family val="2"/>
      </rPr>
      <t xml:space="preserve">유지보수 </t>
    </r>
    <r>
      <rPr>
        <sz val="9"/>
        <color rgb="FF555555"/>
        <rFont val="Arial"/>
        <family val="0"/>
        <charset val="1"/>
      </rPr>
      <t xml:space="preserve">1.3</t>
    </r>
    <r>
      <rPr>
        <sz val="9"/>
        <color rgb="FF555555"/>
        <rFont val="Noto Sans CJK SC"/>
        <family val="2"/>
      </rPr>
      <t xml:space="preserve">억</t>
    </r>
  </si>
  <si>
    <r>
      <rPr>
        <b val="true"/>
        <sz val="10"/>
        <color rgb="FFFF6600"/>
        <rFont val="Arial"/>
        <family val="0"/>
        <charset val="1"/>
      </rPr>
      <t xml:space="preserve">1.3</t>
    </r>
    <r>
      <rPr>
        <b val="true"/>
        <sz val="10"/>
        <color rgb="FFFF6600"/>
        <rFont val="Noto Sans CJK SC"/>
        <family val="2"/>
      </rPr>
      <t xml:space="preserve">억</t>
    </r>
  </si>
  <si>
    <t xml:space="preserve">반복매출</t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</si>
  <si>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년차</t>
    </r>
  </si>
  <si>
    <r>
      <rPr>
        <sz val="9"/>
        <color rgb="FF555555"/>
        <rFont val="Noto Sans CJK SC"/>
        <family val="2"/>
      </rPr>
      <t xml:space="preserve">유지보수 </t>
    </r>
    <r>
      <rPr>
        <sz val="9"/>
        <color rgb="FF555555"/>
        <rFont val="Arial"/>
        <family val="0"/>
        <charset val="1"/>
      </rPr>
      <t xml:space="preserve">1.3</t>
    </r>
    <r>
      <rPr>
        <sz val="9"/>
        <color rgb="FF555555"/>
        <rFont val="Noto Sans CJK SC"/>
        <family val="2"/>
      </rPr>
      <t xml:space="preserve">억 </t>
    </r>
    <r>
      <rPr>
        <sz val="9"/>
        <color rgb="FF555555"/>
        <rFont val="Arial"/>
        <family val="0"/>
        <charset val="1"/>
      </rPr>
      <t xml:space="preserve">+ </t>
    </r>
    <r>
      <rPr>
        <sz val="9"/>
        <color rgb="FF555555"/>
        <rFont val="Noto Sans CJK SC"/>
        <family val="2"/>
      </rPr>
      <t xml:space="preserve">기능 업그레이드 </t>
    </r>
    <r>
      <rPr>
        <sz val="9"/>
        <color rgb="FF555555"/>
        <rFont val="Arial"/>
        <family val="0"/>
        <charset val="1"/>
      </rPr>
      <t xml:space="preserve">1</t>
    </r>
    <r>
      <rPr>
        <sz val="9"/>
        <color rgb="FF555555"/>
        <rFont val="Noto Sans CJK SC"/>
        <family val="2"/>
      </rPr>
      <t xml:space="preserve">억</t>
    </r>
  </si>
  <si>
    <r>
      <rPr>
        <b val="true"/>
        <sz val="10"/>
        <color rgb="FFFF6600"/>
        <rFont val="Arial"/>
        <family val="0"/>
        <charset val="1"/>
      </rPr>
      <t xml:space="preserve">2.3</t>
    </r>
    <r>
      <rPr>
        <b val="true"/>
        <sz val="10"/>
        <color rgb="FFFF6600"/>
        <rFont val="Noto Sans CJK SC"/>
        <family val="2"/>
      </rPr>
      <t xml:space="preserve">억</t>
    </r>
  </si>
  <si>
    <r>
      <rPr>
        <sz val="9"/>
        <color rgb="FF555555"/>
        <rFont val="Noto Sans CJK SC"/>
        <family val="2"/>
      </rPr>
      <t xml:space="preserve">반복 </t>
    </r>
    <r>
      <rPr>
        <sz val="9"/>
        <color rgb="FF555555"/>
        <rFont val="Arial"/>
        <family val="0"/>
        <charset val="1"/>
      </rPr>
      <t xml:space="preserve">+ </t>
    </r>
    <r>
      <rPr>
        <sz val="9"/>
        <color rgb="FF555555"/>
        <rFont val="Noto Sans CJK SC"/>
        <family val="2"/>
      </rPr>
      <t xml:space="preserve">확장</t>
    </r>
  </si>
  <si>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년차</t>
    </r>
    <r>
      <rPr>
        <sz val="10"/>
        <color rgb="FF000000"/>
        <rFont val="Arial"/>
        <family val="0"/>
        <charset val="1"/>
      </rPr>
      <t xml:space="preserve">~</t>
    </r>
  </si>
  <si>
    <r>
      <rPr>
        <sz val="9"/>
        <color rgb="FF555555"/>
        <rFont val="Noto Sans CJK SC"/>
        <family val="2"/>
      </rPr>
      <t xml:space="preserve">유지보수 </t>
    </r>
    <r>
      <rPr>
        <sz val="9"/>
        <color rgb="FF555555"/>
        <rFont val="Arial"/>
        <family val="0"/>
        <charset val="1"/>
      </rPr>
      <t xml:space="preserve">1.3</t>
    </r>
    <r>
      <rPr>
        <sz val="9"/>
        <color rgb="FF555555"/>
        <rFont val="Noto Sans CJK SC"/>
        <family val="2"/>
      </rPr>
      <t xml:space="preserve">억 </t>
    </r>
    <r>
      <rPr>
        <sz val="9"/>
        <color rgb="FF555555"/>
        <rFont val="Arial"/>
        <family val="0"/>
        <charset val="1"/>
      </rPr>
      <t xml:space="preserve">+ </t>
    </r>
    <r>
      <rPr>
        <sz val="9"/>
        <color rgb="FF555555"/>
        <rFont val="Noto Sans CJK SC"/>
        <family val="2"/>
      </rPr>
      <t xml:space="preserve">추가 제품 도입</t>
    </r>
  </si>
  <si>
    <r>
      <rPr>
        <b val="true"/>
        <sz val="10"/>
        <color rgb="FFFF6600"/>
        <rFont val="Arial"/>
        <family val="0"/>
        <charset val="1"/>
      </rPr>
      <t xml:space="preserve">2~3</t>
    </r>
    <r>
      <rPr>
        <b val="true"/>
        <sz val="10"/>
        <color rgb="FFFF6600"/>
        <rFont val="Noto Sans CJK SC"/>
        <family val="2"/>
      </rPr>
      <t xml:space="preserve">억</t>
    </r>
  </si>
  <si>
    <t xml:space="preserve">확장 반복</t>
  </si>
  <si>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년 </t>
    </r>
    <r>
      <rPr>
        <sz val="10"/>
        <color rgb="FF000000"/>
        <rFont val="Arial"/>
        <family val="0"/>
        <charset val="1"/>
      </rPr>
      <t xml:space="preserve">LTV</t>
    </r>
  </si>
  <si>
    <r>
      <rPr>
        <b val="true"/>
        <sz val="10"/>
        <color rgb="FFFF6600"/>
        <rFont val="Arial"/>
        <family val="0"/>
        <charset val="1"/>
      </rPr>
      <t xml:space="preserve">15~17</t>
    </r>
    <r>
      <rPr>
        <b val="true"/>
        <sz val="10"/>
        <color rgb="FFFF6600"/>
        <rFont val="Noto Sans CJK SC"/>
        <family val="2"/>
      </rPr>
      <t xml:space="preserve">억</t>
    </r>
  </si>
  <si>
    <r>
      <rPr>
        <sz val="9"/>
        <color rgb="FF555555"/>
        <rFont val="Arial"/>
        <family val="0"/>
        <charset val="1"/>
      </rPr>
      <t xml:space="preserve">1</t>
    </r>
    <r>
      <rPr>
        <sz val="9"/>
        <color rgb="FF555555"/>
        <rFont val="Noto Sans CJK SC"/>
        <family val="2"/>
      </rPr>
      <t xml:space="preserve">곳에서 </t>
    </r>
    <r>
      <rPr>
        <sz val="9"/>
        <color rgb="FF555555"/>
        <rFont val="Arial"/>
        <family val="0"/>
        <charset val="1"/>
      </rPr>
      <t xml:space="preserve">15</t>
    </r>
    <r>
      <rPr>
        <sz val="9"/>
        <color rgb="FF555555"/>
        <rFont val="Noto Sans CJK SC"/>
        <family val="2"/>
      </rPr>
      <t xml:space="preserve">억</t>
    </r>
    <r>
      <rPr>
        <sz val="9"/>
        <color rgb="FF555555"/>
        <rFont val="Arial"/>
        <family val="0"/>
        <charset val="1"/>
      </rPr>
      <t xml:space="preserve">+ </t>
    </r>
    <r>
      <rPr>
        <sz val="9"/>
        <color rgb="FF555555"/>
        <rFont val="Noto Sans CJK SC"/>
        <family val="2"/>
      </rPr>
      <t xml:space="preserve">누적</t>
    </r>
  </si>
  <si>
    <r>
      <rPr>
        <b val="true"/>
        <sz val="11"/>
        <color rgb="FF1A1A2E"/>
        <rFont val="Noto Sans CJK SC"/>
        <family val="2"/>
      </rPr>
      <t xml:space="preserve">▎ 모듈화</t>
    </r>
    <r>
      <rPr>
        <b val="true"/>
        <sz val="11"/>
        <color rgb="FF1A1A2E"/>
        <rFont val="Arial"/>
        <family val="0"/>
        <charset val="1"/>
      </rPr>
      <t xml:space="preserve">/</t>
    </r>
    <r>
      <rPr>
        <b val="true"/>
        <sz val="11"/>
        <color rgb="FF1A1A2E"/>
        <rFont val="Noto Sans CJK SC"/>
        <family val="2"/>
      </rPr>
      <t xml:space="preserve">자동화에 의한 영업 레버리지</t>
    </r>
  </si>
  <si>
    <t xml:space="preserve">지표</t>
  </si>
  <si>
    <t xml:space="preserve">효과</t>
  </si>
  <si>
    <t xml:space="preserve">고객 온보딩 소요 시간</t>
  </si>
  <si>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주</t>
    </r>
  </si>
  <si>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주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</si>
  <si>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주</t>
    </r>
  </si>
  <si>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일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</si>
  <si>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일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자동</t>
    </r>
    <r>
      <rPr>
        <sz val="10"/>
        <color rgb="FF0000FF"/>
        <rFont val="Arial"/>
        <family val="0"/>
        <charset val="1"/>
      </rPr>
      <t xml:space="preserve">)</t>
    </r>
  </si>
  <si>
    <r>
      <rPr>
        <b val="true"/>
        <sz val="10"/>
        <color rgb="FF008000"/>
        <rFont val="Arial"/>
        <family val="0"/>
        <charset val="1"/>
      </rPr>
      <t xml:space="preserve">96% </t>
    </r>
    <r>
      <rPr>
        <b val="true"/>
        <sz val="10"/>
        <color rgb="FF008000"/>
        <rFont val="Noto Sans CJK SC"/>
        <family val="2"/>
      </rPr>
      <t xml:space="preserve">단축</t>
    </r>
  </si>
  <si>
    <t xml:space="preserve">온보딩 투입 인력</t>
  </si>
  <si>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명</t>
    </r>
  </si>
  <si>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명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</si>
  <si>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명</t>
    </r>
  </si>
  <si>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Noto Sans CJK SC"/>
        <family val="2"/>
      </rPr>
      <t xml:space="preserve">명</t>
    </r>
  </si>
  <si>
    <t xml:space="preserve">Zero-Touch</t>
  </si>
  <si>
    <r>
      <rPr>
        <b val="true"/>
        <sz val="10"/>
        <color rgb="FF008000"/>
        <rFont val="Arial"/>
        <family val="0"/>
        <charset val="1"/>
      </rPr>
      <t xml:space="preserve">100% </t>
    </r>
    <r>
      <rPr>
        <b val="true"/>
        <sz val="10"/>
        <color rgb="FF008000"/>
        <rFont val="Noto Sans CJK SC"/>
        <family val="2"/>
      </rPr>
      <t xml:space="preserve">자동화</t>
    </r>
  </si>
  <si>
    <r>
      <rPr>
        <sz val="10"/>
        <color rgb="FF000000"/>
        <rFont val="Noto Sans CJK SC"/>
        <family val="2"/>
      </rPr>
      <t xml:space="preserve">고객당 도입 비용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백만</t>
    </r>
    <r>
      <rPr>
        <sz val="10"/>
        <color rgb="FF000000"/>
        <rFont val="Arial"/>
        <family val="0"/>
        <charset val="1"/>
      </rPr>
      <t xml:space="preserve">)</t>
    </r>
  </si>
  <si>
    <t xml:space="preserve">15</t>
  </si>
  <si>
    <t xml:space="preserve">8</t>
  </si>
  <si>
    <t xml:space="preserve">4</t>
  </si>
  <si>
    <t xml:space="preserve">2</t>
  </si>
  <si>
    <t xml:space="preserve">0.5</t>
  </si>
  <si>
    <r>
      <rPr>
        <b val="true"/>
        <sz val="10"/>
        <color rgb="FF008000"/>
        <rFont val="Arial"/>
        <family val="0"/>
        <charset val="1"/>
      </rPr>
      <t xml:space="preserve">97% </t>
    </r>
    <r>
      <rPr>
        <b val="true"/>
        <sz val="10"/>
        <color rgb="FF008000"/>
        <rFont val="Noto Sans CJK SC"/>
        <family val="2"/>
      </rPr>
      <t xml:space="preserve">절감</t>
    </r>
  </si>
  <si>
    <r>
      <rPr>
        <sz val="10"/>
        <color rgb="FF000000"/>
        <rFont val="Noto Sans CJK SC"/>
        <family val="2"/>
      </rPr>
      <t xml:space="preserve">고객당 연간 유지비용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백만</t>
    </r>
    <r>
      <rPr>
        <sz val="10"/>
        <color rgb="FF000000"/>
        <rFont val="Arial"/>
        <family val="0"/>
        <charset val="1"/>
      </rPr>
      <t xml:space="preserve">)</t>
    </r>
  </si>
  <si>
    <t xml:space="preserve">5</t>
  </si>
  <si>
    <t xml:space="preserve">3</t>
  </si>
  <si>
    <t xml:space="preserve">1.5</t>
  </si>
  <si>
    <t xml:space="preserve">1</t>
  </si>
  <si>
    <r>
      <rPr>
        <b val="true"/>
        <sz val="10"/>
        <color rgb="FF008000"/>
        <rFont val="Arial"/>
        <family val="0"/>
        <charset val="1"/>
      </rPr>
      <t xml:space="preserve">80% </t>
    </r>
    <r>
      <rPr>
        <b val="true"/>
        <sz val="10"/>
        <color rgb="FF008000"/>
        <rFont val="Noto Sans CJK SC"/>
        <family val="2"/>
      </rPr>
      <t xml:space="preserve">절감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</si>
  <si>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인당 관리 가능 고객 수</t>
    </r>
  </si>
  <si>
    <r>
      <rPr>
        <sz val="10"/>
        <color rgb="FF0000FF"/>
        <rFont val="Arial"/>
        <family val="0"/>
        <charset val="1"/>
      </rPr>
      <t xml:space="preserve">5</t>
    </r>
    <r>
      <rPr>
        <sz val="10"/>
        <color rgb="FF0000FF"/>
        <rFont val="Noto Sans CJK SC"/>
        <family val="2"/>
      </rPr>
      <t xml:space="preserve">사</t>
    </r>
  </si>
  <si>
    <r>
      <rPr>
        <sz val="10"/>
        <color rgb="FF0000FF"/>
        <rFont val="Arial"/>
        <family val="0"/>
        <charset val="1"/>
      </rPr>
      <t xml:space="preserve">10</t>
    </r>
    <r>
      <rPr>
        <sz val="10"/>
        <color rgb="FF0000FF"/>
        <rFont val="Noto Sans CJK SC"/>
        <family val="2"/>
      </rPr>
      <t xml:space="preserve">사</t>
    </r>
  </si>
  <si>
    <r>
      <rPr>
        <sz val="10"/>
        <color rgb="FF0000FF"/>
        <rFont val="Arial"/>
        <family val="0"/>
        <charset val="1"/>
      </rPr>
      <t xml:space="preserve">25</t>
    </r>
    <r>
      <rPr>
        <sz val="10"/>
        <color rgb="FF0000FF"/>
        <rFont val="Noto Sans CJK SC"/>
        <family val="2"/>
      </rPr>
      <t xml:space="preserve">사</t>
    </r>
  </si>
  <si>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사</t>
    </r>
  </si>
  <si>
    <r>
      <rPr>
        <sz val="10"/>
        <color rgb="FF0000FF"/>
        <rFont val="Arial"/>
        <family val="0"/>
        <charset val="1"/>
      </rPr>
      <t xml:space="preserve">100</t>
    </r>
    <r>
      <rPr>
        <sz val="10"/>
        <color rgb="FF0000FF"/>
        <rFont val="Noto Sans CJK SC"/>
        <family val="2"/>
      </rPr>
      <t xml:space="preserve">사</t>
    </r>
  </si>
  <si>
    <r>
      <rPr>
        <b val="true"/>
        <sz val="10"/>
        <color rgb="FF008000"/>
        <rFont val="Arial"/>
        <family val="0"/>
        <charset val="1"/>
      </rPr>
      <t xml:space="preserve">20x </t>
    </r>
    <r>
      <rPr>
        <b val="true"/>
        <sz val="10"/>
        <color rgb="FF008000"/>
        <rFont val="Noto Sans CJK SC"/>
        <family val="2"/>
      </rPr>
      <t xml:space="preserve">향상</t>
    </r>
  </si>
  <si>
    <r>
      <rPr>
        <sz val="10"/>
        <color rgb="FF000000"/>
        <rFont val="Noto Sans CJK SC"/>
        <family val="2"/>
      </rPr>
      <t xml:space="preserve">판관비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매출 비율</t>
    </r>
  </si>
  <si>
    <t xml:space="preserve">61%</t>
  </si>
  <si>
    <t xml:space="preserve">51%</t>
  </si>
  <si>
    <t xml:space="preserve">47%</t>
  </si>
  <si>
    <t xml:space="preserve">41%</t>
  </si>
  <si>
    <t xml:space="preserve">38%</t>
  </si>
  <si>
    <t xml:space="preserve">지속 개선</t>
  </si>
  <si>
    <t xml:space="preserve">▎ 핵심 메커니즘</t>
  </si>
  <si>
    <t xml:space="preserve">Platform Adapter</t>
  </si>
  <si>
    <r>
      <rPr>
        <sz val="9"/>
        <color rgb="FF555555"/>
        <rFont val="Arial"/>
        <family val="0"/>
        <charset val="1"/>
      </rPr>
      <t xml:space="preserve">Snowflake/Databricks </t>
    </r>
    <r>
      <rPr>
        <sz val="9"/>
        <color rgb="FF555555"/>
        <rFont val="Noto Sans CJK SC"/>
        <family val="2"/>
      </rPr>
      <t xml:space="preserve">위에 얹힘 → 커스터마이징 불요 → 도입 마찰 최소</t>
    </r>
  </si>
  <si>
    <t xml:space="preserve">모듈형 배포</t>
  </si>
  <si>
    <t xml:space="preserve">기능 단위 컴포넌트 결합 → 번들 구성 자유자재 → 전체 재구축 불요</t>
  </si>
  <si>
    <t xml:space="preserve">Zero-Touch Provisioning</t>
  </si>
  <si>
    <t xml:space="preserve">계약 → 클라우드 워크스페이스 자동 구성 → 인적 개입 제로</t>
  </si>
  <si>
    <t xml:space="preserve">Agentic AI (AADS)</t>
  </si>
  <si>
    <t xml:space="preserve">관측→판단→행동→증명 자율 순환 → 전문가 없이 운영 가능</t>
  </si>
  <si>
    <r>
      <rPr>
        <b val="true"/>
        <sz val="10"/>
        <color rgb="FF000000"/>
        <rFont val="Noto Sans CJK SC"/>
        <family val="2"/>
      </rPr>
      <t xml:space="preserve">소버린 배포 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온프렘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</si>
  <si>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sz val="9"/>
        <color rgb="FF555555"/>
        <rFont val="Arial"/>
        <family val="0"/>
        <charset val="1"/>
      </rPr>
      <t xml:space="preserve">KISTI KONI LLM/VLM → </t>
    </r>
    <r>
      <rPr>
        <sz val="9"/>
        <color rgb="FF555555"/>
        <rFont val="Noto Sans CJK SC"/>
        <family val="2"/>
      </rPr>
      <t xml:space="preserve">국방</t>
    </r>
    <r>
      <rPr>
        <sz val="9"/>
        <color rgb="FF555555"/>
        <rFont val="Arial"/>
        <family val="0"/>
        <charset val="1"/>
      </rPr>
      <t xml:space="preserve">/</t>
    </r>
    <r>
      <rPr>
        <sz val="9"/>
        <color rgb="FF555555"/>
        <rFont val="Noto Sans CJK SC"/>
        <family val="2"/>
      </rPr>
      <t xml:space="preserve">공공 데이터 반출 불가 환경 대응</t>
    </r>
  </si>
  <si>
    <t xml:space="preserve">번들 프리미엄</t>
  </si>
  <si>
    <r>
      <rPr>
        <sz val="9"/>
        <color rgb="FF555555"/>
        <rFont val="Noto Sans CJK SC"/>
        <family val="2"/>
      </rPr>
      <t xml:space="preserve">제품 조합 시 개별 합계 대비 </t>
    </r>
    <r>
      <rPr>
        <sz val="9"/>
        <color rgb="FF555555"/>
        <rFont val="Arial"/>
        <family val="0"/>
        <charset val="1"/>
      </rPr>
      <t xml:space="preserve">15~20% </t>
    </r>
    <r>
      <rPr>
        <sz val="9"/>
        <color rgb="FF555555"/>
        <rFont val="Noto Sans CJK SC"/>
        <family val="2"/>
      </rPr>
      <t xml:space="preserve">할인</t>
    </r>
    <r>
      <rPr>
        <sz val="9"/>
        <color rgb="FF555555"/>
        <rFont val="Arial"/>
        <family val="0"/>
        <charset val="1"/>
      </rPr>
      <t xml:space="preserve">, </t>
    </r>
    <r>
      <rPr>
        <sz val="9"/>
        <color rgb="FF555555"/>
        <rFont val="Noto Sans CJK SC"/>
        <family val="2"/>
      </rPr>
      <t xml:space="preserve">총 계약 규모는 </t>
    </r>
    <r>
      <rPr>
        <sz val="9"/>
        <color rgb="FF555555"/>
        <rFont val="Arial"/>
        <family val="0"/>
        <charset val="1"/>
      </rPr>
      <t xml:space="preserve">3~5</t>
    </r>
    <r>
      <rPr>
        <sz val="9"/>
        <color rgb="FF555555"/>
        <rFont val="Noto Sans CJK SC"/>
        <family val="2"/>
      </rPr>
      <t xml:space="preserve">배 증가</t>
    </r>
  </si>
  <si>
    <r>
      <rPr>
        <i val="true"/>
        <sz val="9"/>
        <color rgb="FF008000"/>
        <rFont val="Arial"/>
        <family val="0"/>
        <charset val="1"/>
      </rPr>
      <t xml:space="preserve">※ Applied Intuition GPM 85%, </t>
    </r>
    <r>
      <rPr>
        <i val="true"/>
        <sz val="9"/>
        <color rgb="FF008000"/>
        <rFont val="Noto Sans CJK SC"/>
        <family val="2"/>
      </rPr>
      <t xml:space="preserve">페블러스 </t>
    </r>
    <r>
      <rPr>
        <i val="true"/>
        <sz val="9"/>
        <color rgb="FF008000"/>
        <rFont val="Arial"/>
        <family val="0"/>
        <charset val="1"/>
      </rPr>
      <t xml:space="preserve">GPM 100% (</t>
    </r>
    <r>
      <rPr>
        <i val="true"/>
        <sz val="9"/>
        <color rgb="FF008000"/>
        <rFont val="Noto Sans CJK SC"/>
        <family val="2"/>
      </rPr>
      <t xml:space="preserve">매출원가 </t>
    </r>
    <r>
      <rPr>
        <i val="true"/>
        <sz val="9"/>
        <color rgb="FF008000"/>
        <rFont val="Arial"/>
        <family val="0"/>
        <charset val="1"/>
      </rPr>
      <t xml:space="preserve">0</t>
    </r>
    <r>
      <rPr>
        <i val="true"/>
        <sz val="9"/>
        <color rgb="FF008000"/>
        <rFont val="Noto Sans CJK SC"/>
        <family val="2"/>
      </rPr>
      <t xml:space="preserve">원</t>
    </r>
    <r>
      <rPr>
        <i val="true"/>
        <sz val="9"/>
        <color rgb="FF008000"/>
        <rFont val="Arial"/>
        <family val="0"/>
        <charset val="1"/>
      </rPr>
      <t xml:space="preserve">) — </t>
    </r>
    <r>
      <rPr>
        <i val="true"/>
        <sz val="9"/>
        <color rgb="FF008000"/>
        <rFont val="Noto Sans CJK SC"/>
        <family val="2"/>
      </rPr>
      <t xml:space="preserve">더 강력한 레버리지</t>
    </r>
  </si>
  <si>
    <r>
      <rPr>
        <i val="true"/>
        <sz val="9"/>
        <color rgb="FF0000FF"/>
        <rFont val="Arial"/>
        <family val="0"/>
        <charset val="1"/>
      </rPr>
      <t xml:space="preserve">※ Snowflake NRR 125% </t>
    </r>
    <r>
      <rPr>
        <i val="true"/>
        <sz val="9"/>
        <color rgb="FF0000FF"/>
        <rFont val="Noto Sans CJK SC"/>
        <family val="2"/>
      </rPr>
      <t xml:space="preserve">벤치마크 — 온프렘 유지보수</t>
    </r>
    <r>
      <rPr>
        <i val="true"/>
        <sz val="9"/>
        <color rgb="FF0000FF"/>
        <rFont val="Arial"/>
        <family val="0"/>
        <charset val="1"/>
      </rPr>
      <t xml:space="preserve">(16%) + SaaS </t>
    </r>
    <r>
      <rPr>
        <i val="true"/>
        <sz val="9"/>
        <color rgb="FF0000FF"/>
        <rFont val="Noto Sans CJK SC"/>
        <family val="2"/>
      </rPr>
      <t xml:space="preserve">확장 → 유사 수준 달성 가능</t>
    </r>
  </si>
  <si>
    <r>
      <rPr>
        <i val="true"/>
        <sz val="9"/>
        <color rgb="FFFF6600"/>
        <rFont val="Noto Sans CJK SC"/>
        <family val="2"/>
      </rPr>
      <t xml:space="preserve">※ 독보적 기술 경쟁력으로 온프렘 프리미엄 가격 정당화 — 조달 대비 </t>
    </r>
    <r>
      <rPr>
        <i val="true"/>
        <sz val="9"/>
        <color rgb="FFFF6600"/>
        <rFont val="Arial"/>
        <family val="0"/>
        <charset val="1"/>
      </rPr>
      <t xml:space="preserve">5x, SaaS </t>
    </r>
    <r>
      <rPr>
        <i val="true"/>
        <sz val="9"/>
        <color rgb="FFFF6600"/>
        <rFont val="Noto Sans CJK SC"/>
        <family val="2"/>
      </rPr>
      <t xml:space="preserve">대비 </t>
    </r>
    <r>
      <rPr>
        <i val="true"/>
        <sz val="9"/>
        <color rgb="FFFF6600"/>
        <rFont val="Arial"/>
        <family val="0"/>
        <charset val="1"/>
      </rPr>
      <t xml:space="preserve">5~10x</t>
    </r>
  </si>
  <si>
    <r>
      <rPr>
        <b val="true"/>
        <sz val="11"/>
        <color rgb="FF1A1A2E"/>
        <rFont val="Noto Sans CJK SC"/>
        <family val="2"/>
      </rPr>
      <t xml:space="preserve">▎ 매출 스트림</t>
    </r>
    <r>
      <rPr>
        <b val="true"/>
        <sz val="11"/>
        <color rgb="FF1A1A2E"/>
        <rFont val="Arial"/>
        <family val="0"/>
        <charset val="1"/>
      </rPr>
      <t xml:space="preserve">(A~F) ↔ </t>
    </r>
    <r>
      <rPr>
        <b val="true"/>
        <sz val="11"/>
        <color rgb="FF1A1A2E"/>
        <rFont val="Noto Sans CJK SC"/>
        <family val="2"/>
      </rPr>
      <t xml:space="preserve">제품 라인</t>
    </r>
    <r>
      <rPr>
        <b val="true"/>
        <sz val="11"/>
        <color rgb="FF1A1A2E"/>
        <rFont val="Arial"/>
        <family val="0"/>
        <charset val="1"/>
      </rPr>
      <t xml:space="preserve">(1~6) </t>
    </r>
    <r>
      <rPr>
        <b val="true"/>
        <sz val="11"/>
        <color rgb="FF1A1A2E"/>
        <rFont val="Noto Sans CJK SC"/>
        <family val="2"/>
      </rPr>
      <t xml:space="preserve">매핑</t>
    </r>
  </si>
  <si>
    <r>
      <rPr>
        <sz val="9"/>
        <color rgb="FF555555"/>
        <rFont val="Noto Sans CJK SC"/>
        <family val="2"/>
      </rPr>
      <t xml:space="preserve">동일한 매출 </t>
    </r>
    <r>
      <rPr>
        <sz val="9"/>
        <color rgb="FF555555"/>
        <rFont val="Arial"/>
        <family val="0"/>
        <charset val="1"/>
      </rPr>
      <t xml:space="preserve">237</t>
    </r>
    <r>
      <rPr>
        <sz val="9"/>
        <color rgb="FF555555"/>
        <rFont val="Noto Sans CJK SC"/>
        <family val="2"/>
      </rPr>
      <t xml:space="preserve">억을 </t>
    </r>
    <r>
      <rPr>
        <sz val="9"/>
        <color rgb="FF555555"/>
        <rFont val="Arial"/>
        <family val="0"/>
        <charset val="1"/>
      </rPr>
      <t xml:space="preserve">"</t>
    </r>
    <r>
      <rPr>
        <sz val="9"/>
        <color rgb="FF555555"/>
        <rFont val="Noto Sans CJK SC"/>
        <family val="2"/>
      </rPr>
      <t xml:space="preserve">채널</t>
    </r>
    <r>
      <rPr>
        <sz val="9"/>
        <color rgb="FF555555"/>
        <rFont val="Arial"/>
        <family val="0"/>
        <charset val="1"/>
      </rPr>
      <t xml:space="preserve">·</t>
    </r>
    <r>
      <rPr>
        <sz val="9"/>
        <color rgb="FF555555"/>
        <rFont val="Noto Sans CJK SC"/>
        <family val="2"/>
      </rPr>
      <t xml:space="preserve">시장</t>
    </r>
    <r>
      <rPr>
        <sz val="9"/>
        <color rgb="FF555555"/>
        <rFont val="Arial"/>
        <family val="0"/>
        <charset val="1"/>
      </rPr>
      <t xml:space="preserve">" </t>
    </r>
    <r>
      <rPr>
        <sz val="9"/>
        <color rgb="FF555555"/>
        <rFont val="Noto Sans CJK SC"/>
        <family val="2"/>
      </rPr>
      <t xml:space="preserve">축과 </t>
    </r>
    <r>
      <rPr>
        <sz val="9"/>
        <color rgb="FF555555"/>
        <rFont val="Arial"/>
        <family val="0"/>
        <charset val="1"/>
      </rPr>
      <t xml:space="preserve">"</t>
    </r>
    <r>
      <rPr>
        <sz val="9"/>
        <color rgb="FF555555"/>
        <rFont val="Noto Sans CJK SC"/>
        <family val="2"/>
      </rPr>
      <t xml:space="preserve">제품</t>
    </r>
    <r>
      <rPr>
        <sz val="9"/>
        <color rgb="FF555555"/>
        <rFont val="Arial"/>
        <family val="0"/>
        <charset val="1"/>
      </rPr>
      <t xml:space="preserve">" </t>
    </r>
    <r>
      <rPr>
        <sz val="9"/>
        <color rgb="FF555555"/>
        <rFont val="Noto Sans CJK SC"/>
        <family val="2"/>
      </rPr>
      <t xml:space="preserve">축</t>
    </r>
    <r>
      <rPr>
        <sz val="9"/>
        <color rgb="FF555555"/>
        <rFont val="Arial"/>
        <family val="0"/>
        <charset val="1"/>
      </rPr>
      <t xml:space="preserve">, </t>
    </r>
    <r>
      <rPr>
        <sz val="9"/>
        <color rgb="FF555555"/>
        <rFont val="Noto Sans CJK SC"/>
        <family val="2"/>
      </rPr>
      <t xml:space="preserve">두 관점에서 분해한 것입니다</t>
    </r>
    <r>
      <rPr>
        <sz val="9"/>
        <color rgb="FF555555"/>
        <rFont val="Arial"/>
        <family val="0"/>
        <charset val="1"/>
      </rPr>
      <t xml:space="preserve">.</t>
    </r>
  </si>
  <si>
    <r>
      <rPr>
        <b val="true"/>
        <sz val="10"/>
        <color rgb="FFFFFFFF"/>
        <rFont val="Noto Sans CJK SC"/>
        <family val="2"/>
      </rPr>
      <t xml:space="preserve">제품 </t>
    </r>
    <r>
      <rPr>
        <b val="true"/>
        <sz val="10"/>
        <color rgb="FFFFFFFF"/>
        <rFont val="Arial"/>
        <family val="0"/>
        <charset val="1"/>
      </rPr>
      <t xml:space="preserve">\ </t>
    </r>
    <r>
      <rPr>
        <b val="true"/>
        <sz val="10"/>
        <color rgb="FFFFFFFF"/>
        <rFont val="Noto Sans CJK SC"/>
        <family val="2"/>
      </rPr>
      <t xml:space="preserve">매출 스트림</t>
    </r>
  </si>
  <si>
    <r>
      <rPr>
        <b val="true"/>
        <sz val="10"/>
        <color rgb="FFFFFFFF"/>
        <rFont val="Arial"/>
        <family val="0"/>
        <charset val="1"/>
      </rPr>
      <t xml:space="preserve">A.DataClinic
</t>
    </r>
    <r>
      <rPr>
        <b val="true"/>
        <sz val="10"/>
        <color rgb="FFFFFFFF"/>
        <rFont val="Noto Sans CJK SC"/>
        <family val="2"/>
      </rPr>
      <t xml:space="preserve">플랫폼</t>
    </r>
  </si>
  <si>
    <r>
      <rPr>
        <b val="true"/>
        <sz val="10"/>
        <color rgb="FFFFFFFF"/>
        <rFont val="Arial"/>
        <family val="0"/>
        <charset val="1"/>
      </rPr>
      <t xml:space="preserve">B.B2G
</t>
    </r>
    <r>
      <rPr>
        <b val="true"/>
        <sz val="10"/>
        <color rgb="FFFFFFFF"/>
        <rFont val="Noto Sans CJK SC"/>
        <family val="2"/>
      </rPr>
      <t xml:space="preserve">납품</t>
    </r>
  </si>
  <si>
    <r>
      <rPr>
        <b val="true"/>
        <sz val="10"/>
        <color rgb="FFFFFFFF"/>
        <rFont val="Arial"/>
        <family val="0"/>
        <charset val="1"/>
      </rPr>
      <t xml:space="preserve">C.</t>
    </r>
    <r>
      <rPr>
        <b val="true"/>
        <sz val="10"/>
        <color rgb="FFFFFFFF"/>
        <rFont val="Noto Sans CJK SC"/>
        <family val="2"/>
      </rPr>
      <t xml:space="preserve">합성데이터
프로젝트</t>
    </r>
  </si>
  <si>
    <r>
      <rPr>
        <b val="true"/>
        <sz val="10"/>
        <color rgb="FFFFFFFF"/>
        <rFont val="Arial"/>
        <family val="0"/>
        <charset val="1"/>
      </rPr>
      <t xml:space="preserve">D.KOLAS
</t>
    </r>
    <r>
      <rPr>
        <b val="true"/>
        <sz val="10"/>
        <color rgb="FFFFFFFF"/>
        <rFont val="Noto Sans CJK SC"/>
        <family val="2"/>
      </rPr>
      <t xml:space="preserve">인증</t>
    </r>
  </si>
  <si>
    <r>
      <rPr>
        <b val="true"/>
        <sz val="10"/>
        <color rgb="FFFFFFFF"/>
        <rFont val="Arial"/>
        <family val="0"/>
        <charset val="1"/>
      </rPr>
      <t xml:space="preserve">E.</t>
    </r>
    <r>
      <rPr>
        <b val="true"/>
        <sz val="10"/>
        <color rgb="FFFFFFFF"/>
        <rFont val="Noto Sans CJK SC"/>
        <family val="2"/>
      </rPr>
      <t xml:space="preserve">글로벌
</t>
    </r>
    <r>
      <rPr>
        <b val="true"/>
        <sz val="10"/>
        <color rgb="FFFFFFFF"/>
        <rFont val="Arial"/>
        <family val="0"/>
        <charset val="1"/>
      </rPr>
      <t xml:space="preserve">SaaS/API</t>
    </r>
  </si>
  <si>
    <r>
      <rPr>
        <b val="true"/>
        <sz val="10"/>
        <color rgb="FFFFFFFF"/>
        <rFont val="Arial"/>
        <family val="0"/>
        <charset val="1"/>
      </rPr>
      <t xml:space="preserve">F.PebbloSim
</t>
    </r>
    <r>
      <rPr>
        <b val="true"/>
        <sz val="10"/>
        <color rgb="FFFFFFFF"/>
        <rFont val="Noto Sans CJK SC"/>
        <family val="2"/>
      </rPr>
      <t xml:space="preserve">글로벌</t>
    </r>
  </si>
  <si>
    <t xml:space="preserve">제품별
합계</t>
  </si>
  <si>
    <r>
      <rPr>
        <b val="true"/>
        <sz val="10"/>
        <color rgb="FF000000"/>
        <rFont val="Arial"/>
        <family val="0"/>
        <charset val="1"/>
      </rPr>
      <t xml:space="preserve">5. KOLAS </t>
    </r>
    <r>
      <rPr>
        <b val="true"/>
        <sz val="10"/>
        <color rgb="FF000000"/>
        <rFont val="Noto Sans CJK SC"/>
        <family val="2"/>
      </rPr>
      <t xml:space="preserve">인증</t>
    </r>
  </si>
  <si>
    <r>
      <rPr>
        <b val="true"/>
        <sz val="10"/>
        <color rgb="FF000000"/>
        <rFont val="Arial"/>
        <family val="0"/>
        <charset val="1"/>
      </rPr>
      <t xml:space="preserve">6. AI Greenhouse+</t>
    </r>
    <r>
      <rPr>
        <b val="true"/>
        <sz val="10"/>
        <color rgb="FF000000"/>
        <rFont val="Noto Sans CJK SC"/>
        <family val="2"/>
      </rPr>
      <t xml:space="preserve">신규</t>
    </r>
  </si>
  <si>
    <t xml:space="preserve">매출 스트림별 합계</t>
  </si>
  <si>
    <r>
      <rPr>
        <b val="true"/>
        <sz val="10"/>
        <color rgb="FF000000"/>
        <rFont val="Noto Sans CJK SC"/>
        <family val="2"/>
      </rPr>
      <t xml:space="preserve">읽는 법</t>
    </r>
    <r>
      <rPr>
        <b val="true"/>
        <sz val="10"/>
        <color rgb="FF000000"/>
        <rFont val="Arial"/>
        <family val="0"/>
        <charset val="1"/>
      </rPr>
      <t xml:space="preserve">:</t>
    </r>
  </si>
  <si>
    <r>
      <rPr>
        <sz val="9"/>
        <color rgb="FF555555"/>
        <rFont val="Noto Sans CJK SC"/>
        <family val="2"/>
      </rPr>
      <t xml:space="preserve">가로</t>
    </r>
    <r>
      <rPr>
        <sz val="9"/>
        <color rgb="FF555555"/>
        <rFont val="Arial"/>
        <family val="0"/>
        <charset val="1"/>
      </rPr>
      <t xml:space="preserve">(→) = </t>
    </r>
    <r>
      <rPr>
        <sz val="9"/>
        <color rgb="FF555555"/>
        <rFont val="Noto Sans CJK SC"/>
        <family val="2"/>
      </rPr>
      <t xml:space="preserve">하나의 제품이 여러 매출 스트림에서 매출 발생</t>
    </r>
    <r>
      <rPr>
        <sz val="9"/>
        <color rgb="FF555555"/>
        <rFont val="Arial"/>
        <family val="0"/>
        <charset val="1"/>
      </rPr>
      <t xml:space="preserve">. </t>
    </r>
    <r>
      <rPr>
        <sz val="9"/>
        <color rgb="FF555555"/>
        <rFont val="Noto Sans CJK SC"/>
        <family val="2"/>
      </rPr>
      <t xml:space="preserve">예</t>
    </r>
    <r>
      <rPr>
        <sz val="9"/>
        <color rgb="FF555555"/>
        <rFont val="Arial"/>
        <family val="0"/>
        <charset val="1"/>
      </rPr>
      <t xml:space="preserve">: </t>
    </r>
    <r>
      <rPr>
        <sz val="9"/>
        <color rgb="FF555555"/>
        <rFont val="Noto Sans CJK SC"/>
        <family val="2"/>
      </rPr>
      <t xml:space="preserve">데이터클리닉 </t>
    </r>
    <r>
      <rPr>
        <sz val="9"/>
        <color rgb="FF555555"/>
        <rFont val="Arial"/>
        <family val="0"/>
        <charset val="1"/>
      </rPr>
      <t xml:space="preserve">70</t>
    </r>
    <r>
      <rPr>
        <sz val="9"/>
        <color rgb="FF555555"/>
        <rFont val="Noto Sans CJK SC"/>
        <family val="2"/>
      </rPr>
      <t xml:space="preserve">억 </t>
    </r>
    <r>
      <rPr>
        <sz val="9"/>
        <color rgb="FF555555"/>
        <rFont val="Arial"/>
        <family val="0"/>
        <charset val="1"/>
      </rPr>
      <t xml:space="preserve">= </t>
    </r>
    <r>
      <rPr>
        <sz val="9"/>
        <color rgb="FF555555"/>
        <rFont val="Noto Sans CJK SC"/>
        <family val="2"/>
      </rPr>
      <t xml:space="preserve">플랫폼 </t>
    </r>
    <r>
      <rPr>
        <sz val="9"/>
        <color rgb="FF555555"/>
        <rFont val="Arial"/>
        <family val="0"/>
        <charset val="1"/>
      </rPr>
      <t xml:space="preserve">32</t>
    </r>
    <r>
      <rPr>
        <sz val="9"/>
        <color rgb="FF555555"/>
        <rFont val="Noto Sans CJK SC"/>
        <family val="2"/>
      </rPr>
      <t xml:space="preserve">억 </t>
    </r>
    <r>
      <rPr>
        <sz val="9"/>
        <color rgb="FF555555"/>
        <rFont val="Arial"/>
        <family val="0"/>
        <charset val="1"/>
      </rPr>
      <t xml:space="preserve">+ B2G 10</t>
    </r>
    <r>
      <rPr>
        <sz val="9"/>
        <color rgb="FF555555"/>
        <rFont val="Noto Sans CJK SC"/>
        <family val="2"/>
      </rPr>
      <t xml:space="preserve">억 </t>
    </r>
    <r>
      <rPr>
        <sz val="9"/>
        <color rgb="FF555555"/>
        <rFont val="Arial"/>
        <family val="0"/>
        <charset val="1"/>
      </rPr>
      <t xml:space="preserve">+ </t>
    </r>
    <r>
      <rPr>
        <sz val="9"/>
        <color rgb="FF555555"/>
        <rFont val="Noto Sans CJK SC"/>
        <family val="2"/>
      </rPr>
      <t xml:space="preserve">합성 </t>
    </r>
    <r>
      <rPr>
        <sz val="9"/>
        <color rgb="FF555555"/>
        <rFont val="Arial"/>
        <family val="0"/>
        <charset val="1"/>
      </rPr>
      <t xml:space="preserve">8</t>
    </r>
    <r>
      <rPr>
        <sz val="9"/>
        <color rgb="FF555555"/>
        <rFont val="Noto Sans CJK SC"/>
        <family val="2"/>
      </rPr>
      <t xml:space="preserve">억 </t>
    </r>
    <r>
      <rPr>
        <sz val="9"/>
        <color rgb="FF555555"/>
        <rFont val="Arial"/>
        <family val="0"/>
        <charset val="1"/>
      </rPr>
      <t xml:space="preserve">+ </t>
    </r>
    <r>
      <rPr>
        <sz val="9"/>
        <color rgb="FF555555"/>
        <rFont val="Noto Sans CJK SC"/>
        <family val="2"/>
      </rPr>
      <t xml:space="preserve">글로벌 </t>
    </r>
    <r>
      <rPr>
        <sz val="9"/>
        <color rgb="FF555555"/>
        <rFont val="Arial"/>
        <family val="0"/>
        <charset val="1"/>
      </rPr>
      <t xml:space="preserve">15</t>
    </r>
    <r>
      <rPr>
        <sz val="9"/>
        <color rgb="FF555555"/>
        <rFont val="Noto Sans CJK SC"/>
        <family val="2"/>
      </rPr>
      <t xml:space="preserve">억 </t>
    </r>
    <r>
      <rPr>
        <sz val="9"/>
        <color rgb="FF555555"/>
        <rFont val="Arial"/>
        <family val="0"/>
        <charset val="1"/>
      </rPr>
      <t xml:space="preserve">+ PebbloSim</t>
    </r>
    <r>
      <rPr>
        <sz val="9"/>
        <color rgb="FF555555"/>
        <rFont val="Noto Sans CJK SC"/>
        <family val="2"/>
      </rPr>
      <t xml:space="preserve">연계 </t>
    </r>
    <r>
      <rPr>
        <sz val="9"/>
        <color rgb="FF555555"/>
        <rFont val="Arial"/>
        <family val="0"/>
        <charset val="1"/>
      </rPr>
      <t xml:space="preserve">5</t>
    </r>
    <r>
      <rPr>
        <sz val="9"/>
        <color rgb="FF555555"/>
        <rFont val="Noto Sans CJK SC"/>
        <family val="2"/>
      </rPr>
      <t xml:space="preserve">억</t>
    </r>
  </si>
  <si>
    <r>
      <rPr>
        <sz val="9"/>
        <color rgb="FF555555"/>
        <rFont val="Noto Sans CJK SC"/>
        <family val="2"/>
      </rPr>
      <t xml:space="preserve">세로</t>
    </r>
    <r>
      <rPr>
        <sz val="9"/>
        <color rgb="FF555555"/>
        <rFont val="Arial"/>
        <family val="0"/>
        <charset val="1"/>
      </rPr>
      <t xml:space="preserve">(↓) = </t>
    </r>
    <r>
      <rPr>
        <sz val="9"/>
        <color rgb="FF555555"/>
        <rFont val="Noto Sans CJK SC"/>
        <family val="2"/>
      </rPr>
      <t xml:space="preserve">하나의 매출 스트림에 여러 제품이 기여</t>
    </r>
    <r>
      <rPr>
        <sz val="9"/>
        <color rgb="FF555555"/>
        <rFont val="Arial"/>
        <family val="0"/>
        <charset val="1"/>
      </rPr>
      <t xml:space="preserve">. </t>
    </r>
    <r>
      <rPr>
        <sz val="9"/>
        <color rgb="FF555555"/>
        <rFont val="Noto Sans CJK SC"/>
        <family val="2"/>
      </rPr>
      <t xml:space="preserve">예</t>
    </r>
    <r>
      <rPr>
        <sz val="9"/>
        <color rgb="FF555555"/>
        <rFont val="Arial"/>
        <family val="0"/>
        <charset val="1"/>
      </rPr>
      <t xml:space="preserve">: B2G </t>
    </r>
    <r>
      <rPr>
        <sz val="9"/>
        <color rgb="FF555555"/>
        <rFont val="Noto Sans CJK SC"/>
        <family val="2"/>
      </rPr>
      <t xml:space="preserve">납품 </t>
    </r>
    <r>
      <rPr>
        <sz val="9"/>
        <color rgb="FF555555"/>
        <rFont val="Arial"/>
        <family val="0"/>
        <charset val="1"/>
      </rPr>
      <t xml:space="preserve">25</t>
    </r>
    <r>
      <rPr>
        <sz val="9"/>
        <color rgb="FF555555"/>
        <rFont val="Noto Sans CJK SC"/>
        <family val="2"/>
      </rPr>
      <t xml:space="preserve">억 </t>
    </r>
    <r>
      <rPr>
        <sz val="9"/>
        <color rgb="FF555555"/>
        <rFont val="Arial"/>
        <family val="0"/>
        <charset val="1"/>
      </rPr>
      <t xml:space="preserve">= DC 10</t>
    </r>
    <r>
      <rPr>
        <sz val="9"/>
        <color rgb="FF555555"/>
        <rFont val="Noto Sans CJK SC"/>
        <family val="2"/>
      </rPr>
      <t xml:space="preserve">억 </t>
    </r>
    <r>
      <rPr>
        <sz val="9"/>
        <color rgb="FF555555"/>
        <rFont val="Arial"/>
        <family val="0"/>
        <charset val="1"/>
      </rPr>
      <t xml:space="preserve">+ PS 4</t>
    </r>
    <r>
      <rPr>
        <sz val="9"/>
        <color rgb="FF555555"/>
        <rFont val="Noto Sans CJK SC"/>
        <family val="2"/>
      </rPr>
      <t xml:space="preserve">억 </t>
    </r>
    <r>
      <rPr>
        <sz val="9"/>
        <color rgb="FF555555"/>
        <rFont val="Arial"/>
        <family val="0"/>
        <charset val="1"/>
      </rPr>
      <t xml:space="preserve">+ DG 5</t>
    </r>
    <r>
      <rPr>
        <sz val="9"/>
        <color rgb="FF555555"/>
        <rFont val="Noto Sans CJK SC"/>
        <family val="2"/>
      </rPr>
      <t xml:space="preserve">억 </t>
    </r>
    <r>
      <rPr>
        <sz val="9"/>
        <color rgb="FF555555"/>
        <rFont val="Arial"/>
        <family val="0"/>
        <charset val="1"/>
      </rPr>
      <t xml:space="preserve">+ PSim 6</t>
    </r>
    <r>
      <rPr>
        <sz val="9"/>
        <color rgb="FF555555"/>
        <rFont val="Noto Sans CJK SC"/>
        <family val="2"/>
      </rPr>
      <t xml:space="preserve">억 </t>
    </r>
    <r>
      <rPr>
        <sz val="9"/>
        <color rgb="FF555555"/>
        <rFont val="Arial"/>
        <family val="0"/>
        <charset val="1"/>
      </rPr>
      <t xml:space="preserve">(</t>
    </r>
    <r>
      <rPr>
        <sz val="9"/>
        <color rgb="FF555555"/>
        <rFont val="Noto Sans CJK SC"/>
        <family val="2"/>
      </rPr>
      <t xml:space="preserve">번들 납품</t>
    </r>
    <r>
      <rPr>
        <sz val="9"/>
        <color rgb="FF555555"/>
        <rFont val="Arial"/>
        <family val="0"/>
        <charset val="1"/>
      </rPr>
      <t xml:space="preserve">)</t>
    </r>
  </si>
  <si>
    <r>
      <rPr>
        <b val="true"/>
        <sz val="9"/>
        <color rgb="FF008000"/>
        <rFont val="Noto Sans CJK SC"/>
        <family val="2"/>
      </rPr>
      <t xml:space="preserve">양쪽 합계가 모두 </t>
    </r>
    <r>
      <rPr>
        <b val="true"/>
        <sz val="9"/>
        <color rgb="FF008000"/>
        <rFont val="Arial"/>
        <family val="0"/>
        <charset val="1"/>
      </rPr>
      <t xml:space="preserve">237</t>
    </r>
    <r>
      <rPr>
        <b val="true"/>
        <sz val="9"/>
        <color rgb="FF008000"/>
        <rFont val="Noto Sans CJK SC"/>
        <family val="2"/>
      </rPr>
      <t xml:space="preserve">억으로 일치 — 같은 매출을 두 축으로 분해한 것이므로 교차 검증 가능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</si>
</sst>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#,##0;\(#,##0\);\-"/>
    <numFmt numFmtId="168" formatCode="0.0"/>
    <numFmt numFmtId="169" formatCode="0"/>
  </numFmts>
  <fonts count="6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1A2E"/>
      <name val="Noto Sans CJK SC"/>
      <family val="2"/>
      <charset val="1"/>
    </font>
    <font>
      <i val="true"/>
      <sz val="10"/>
      <color rgb="FF555555"/>
      <name val="Noto Sans CJK SC"/>
      <family val="2"/>
      <charset val="1"/>
    </font>
    <font>
      <b val="true"/>
      <sz val="11"/>
      <color rgb="FFFFFFFF"/>
      <name val="Noto Sans CJK SC"/>
      <family val="2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A1A2E"/>
      <name val="Arial"/>
      <family val="0"/>
      <charset val="1"/>
    </font>
    <font>
      <b val="true"/>
      <sz val="11"/>
      <color rgb="FF1A1A2E"/>
      <name val="Noto Sans CJK SC"/>
      <family val="2"/>
    </font>
    <font>
      <sz val="10"/>
      <color rgb="FF000000"/>
      <name val="Arial"/>
      <family val="0"/>
      <charset val="1"/>
    </font>
    <font>
      <sz val="10"/>
      <color rgb="FF000000"/>
      <name val="Noto Sans CJK SC"/>
      <family val="2"/>
    </font>
    <font>
      <sz val="10"/>
      <color rgb="FF0000FF"/>
      <name val="Arial"/>
      <family val="0"/>
      <charset val="1"/>
    </font>
    <font>
      <b val="true"/>
      <sz val="10"/>
      <color rgb="FF000000"/>
      <name val="Noto Sans CJK SC"/>
      <family val="2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i val="true"/>
      <sz val="9"/>
      <color rgb="FF666666"/>
      <name val="Noto Sans CJK SC"/>
      <family val="2"/>
    </font>
    <font>
      <sz val="10"/>
      <color rgb="FF000000"/>
      <name val="Noto Sans CJK SC"/>
      <family val="2"/>
      <charset val="1"/>
    </font>
    <font>
      <b val="true"/>
      <sz val="11"/>
      <color rgb="FF000000"/>
      <name val="Arial"/>
      <family val="0"/>
      <charset val="1"/>
    </font>
    <font>
      <i val="true"/>
      <sz val="9"/>
      <color rgb="FF666666"/>
      <name val="Noto Sans CJK SC"/>
      <family val="2"/>
      <charset val="1"/>
    </font>
    <font>
      <sz val="10"/>
      <color rgb="FF008000"/>
      <name val="Noto Sans CJK SC"/>
      <family val="2"/>
      <charset val="1"/>
    </font>
    <font>
      <sz val="10"/>
      <color rgb="FF008000"/>
      <name val="Arial"/>
      <family val="0"/>
      <charset val="1"/>
    </font>
    <font>
      <sz val="9"/>
      <color rgb="FF555555"/>
      <name val="Noto Sans CJK SC"/>
      <family val="2"/>
      <charset val="1"/>
    </font>
    <font>
      <sz val="9"/>
      <color rgb="FF555555"/>
      <name val="Arial"/>
      <family val="0"/>
      <charset val="1"/>
    </font>
    <font>
      <sz val="9"/>
      <color rgb="FF555555"/>
      <name val="Noto Sans CJK SC"/>
      <family val="2"/>
    </font>
    <font>
      <i val="true"/>
      <sz val="9"/>
      <color rgb="FF0000FF"/>
      <name val="Arial"/>
      <family val="0"/>
      <charset val="1"/>
    </font>
    <font>
      <i val="true"/>
      <sz val="9"/>
      <color rgb="FF0000FF"/>
      <name val="Noto Sans CJK SC"/>
      <family val="2"/>
    </font>
    <font>
      <i val="true"/>
      <sz val="9"/>
      <color rgb="FF008000"/>
      <name val="Noto Sans CJK SC"/>
      <family val="2"/>
      <charset val="1"/>
    </font>
    <font>
      <b val="true"/>
      <sz val="10"/>
      <color rgb="FFFF6600"/>
      <name val="Noto Sans CJK SC"/>
      <family val="2"/>
      <charset val="1"/>
    </font>
    <font>
      <b val="true"/>
      <sz val="10"/>
      <color rgb="FFFF6600"/>
      <name val="Arial"/>
      <family val="0"/>
      <charset val="1"/>
    </font>
    <font>
      <b val="true"/>
      <sz val="11"/>
      <color rgb="FF1A1A2E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sz val="10"/>
      <color rgb="FF0000FF"/>
      <name val="Noto Sans CJK SC"/>
      <family val="2"/>
    </font>
    <font>
      <sz val="10"/>
      <color rgb="FF0000FF"/>
      <name val="Noto Sans CJK SC"/>
      <family val="2"/>
      <charset val="1"/>
    </font>
    <font>
      <sz val="10"/>
      <color rgb="FF1A1A2E"/>
      <name val="Arial"/>
      <family val="0"/>
      <charset val="1"/>
    </font>
    <font>
      <sz val="10"/>
      <color rgb="FF1A1A2E"/>
      <name val="Noto Sans CJK SC"/>
      <family val="2"/>
    </font>
    <font>
      <b val="true"/>
      <sz val="10"/>
      <color rgb="FF0000FF"/>
      <name val="Arial"/>
      <family val="0"/>
      <charset val="1"/>
    </font>
    <font>
      <b val="true"/>
      <sz val="10"/>
      <color rgb="FF0000FF"/>
      <name val="Noto Sans CJK SC"/>
      <family val="2"/>
    </font>
    <font>
      <b val="true"/>
      <sz val="9"/>
      <color rgb="FF1A1A2E"/>
      <name val="Noto Sans CJK SC"/>
      <family val="2"/>
      <charset val="1"/>
    </font>
    <font>
      <b val="true"/>
      <sz val="10"/>
      <color rgb="FFFFFFFF"/>
      <name val="Arial"/>
      <family val="0"/>
      <charset val="1"/>
    </font>
    <font>
      <sz val="9"/>
      <color rgb="FF333333"/>
      <name val="Arial"/>
      <family val="0"/>
      <charset val="1"/>
    </font>
    <font>
      <sz val="9"/>
      <color rgb="FF333333"/>
      <name val="Noto Sans CJK SC"/>
      <family val="2"/>
    </font>
    <font>
      <sz val="9"/>
      <color rgb="FF333333"/>
      <name val="Noto Sans CJK SC"/>
      <family val="2"/>
      <charset val="1"/>
    </font>
    <font>
      <b val="true"/>
      <sz val="14"/>
      <color rgb="FF1A1A2E"/>
      <name val="Noto Sans CJK SC"/>
      <family val="2"/>
    </font>
    <font>
      <b val="true"/>
      <sz val="14"/>
      <color rgb="FF1A1A2E"/>
      <name val="Arial"/>
      <family val="0"/>
      <charset val="1"/>
    </font>
    <font>
      <i val="true"/>
      <sz val="10"/>
      <color rgb="FF555555"/>
      <name val="Noto Sans CJK SC"/>
      <family val="2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6600"/>
      <name val="Noto Sans CJK SC"/>
      <family val="2"/>
    </font>
    <font>
      <b val="true"/>
      <sz val="11"/>
      <color rgb="FFFF6600"/>
      <name val="Arial"/>
      <family val="0"/>
      <charset val="1"/>
    </font>
    <font>
      <b val="true"/>
      <sz val="11"/>
      <color rgb="FFCC0000"/>
      <name val="Noto Sans CJK SC"/>
      <family val="2"/>
    </font>
    <font>
      <b val="true"/>
      <sz val="11"/>
      <color rgb="FFCC0000"/>
      <name val="Arial"/>
      <family val="0"/>
      <charset val="1"/>
    </font>
    <font>
      <b val="true"/>
      <sz val="10"/>
      <color rgb="FF000000"/>
      <name val="Noto Sans CJK SC"/>
      <family val="2"/>
    </font>
    <font>
      <b val="true"/>
      <sz val="10"/>
      <color rgb="FFFF6600"/>
      <name val="Noto Sans CJK SC"/>
      <family val="2"/>
    </font>
    <font>
      <i val="true"/>
      <sz val="9"/>
      <color rgb="FFCC0000"/>
      <name val="Arial"/>
      <family val="0"/>
      <charset val="1"/>
    </font>
    <font>
      <i val="true"/>
      <sz val="9"/>
      <color rgb="FFCC0000"/>
      <name val="Noto Sans CJK SC"/>
      <family val="2"/>
    </font>
    <font>
      <b val="true"/>
      <sz val="10"/>
      <color rgb="FF00800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i val="true"/>
      <sz val="9"/>
      <color rgb="FF555555"/>
      <name val="Noto Sans CJK SC"/>
      <family val="2"/>
    </font>
    <font>
      <b val="true"/>
      <sz val="11"/>
      <color rgb="FF000000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008000"/>
      <name val="Noto Sans CJK SC"/>
      <family val="2"/>
    </font>
    <font>
      <i val="true"/>
      <sz val="9"/>
      <color rgb="FF008000"/>
      <name val="Arial"/>
      <family val="0"/>
      <charset val="1"/>
    </font>
    <font>
      <i val="true"/>
      <sz val="9"/>
      <color rgb="FF008000"/>
      <name val="Noto Sans CJK SC"/>
      <family val="2"/>
    </font>
    <font>
      <i val="true"/>
      <sz val="9"/>
      <color rgb="FFFF6600"/>
      <name val="Noto Sans CJK SC"/>
      <family val="2"/>
    </font>
    <font>
      <i val="true"/>
      <sz val="9"/>
      <color rgb="FFFF6600"/>
      <name val="Arial"/>
      <family val="0"/>
      <charset val="1"/>
    </font>
    <font>
      <sz val="10"/>
      <color rgb="FFCCCCCC"/>
      <name val="Arial"/>
      <family val="0"/>
      <charset val="1"/>
    </font>
    <font>
      <b val="true"/>
      <sz val="9"/>
      <color rgb="FF008000"/>
      <name val="Noto Sans CJK SC"/>
      <family val="2"/>
    </font>
    <font>
      <b val="true"/>
      <sz val="9"/>
      <color rgb="FF008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A1A2E"/>
        <bgColor rgb="FF333333"/>
      </patternFill>
    </fill>
    <fill>
      <patternFill patternType="solid">
        <fgColor rgb="FFE8F0FE"/>
        <bgColor rgb="FFF0F4FF"/>
      </patternFill>
    </fill>
    <fill>
      <patternFill patternType="solid">
        <fgColor rgb="FFF0F4FF"/>
        <bgColor rgb="FFE8F0FE"/>
      </patternFill>
    </fill>
    <fill>
      <patternFill patternType="solid">
        <fgColor rgb="FFFFFDE7"/>
        <bgColor rgb="FFFFF3E0"/>
      </patternFill>
    </fill>
    <fill>
      <patternFill patternType="solid">
        <fgColor rgb="FFE8F5E9"/>
        <bgColor rgb="FFE8F0FE"/>
      </patternFill>
    </fill>
    <fill>
      <patternFill patternType="solid">
        <fgColor rgb="FFFFF3E0"/>
        <bgColor rgb="FFFFEBEE"/>
      </patternFill>
    </fill>
    <fill>
      <patternFill patternType="solid">
        <fgColor rgb="FF2D4A7A"/>
        <bgColor rgb="FF555555"/>
      </patternFill>
    </fill>
    <fill>
      <patternFill patternType="solid">
        <fgColor rgb="FFFFEBEE"/>
        <bgColor rgb="FFFFF3E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A1A2E"/>
      </bottom>
      <diagonal/>
    </border>
    <border diagonalUp="false" diagonalDown="false">
      <left/>
      <right/>
      <top/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5" fontId="1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4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4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8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1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7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9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0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4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555555"/>
      <rgbColor rgb="FF9999FF"/>
      <rgbColor rgb="FF9C27B0"/>
      <rgbColor rgb="FFFFFDE7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E"/>
      <rgbColor rgb="FFF0F4FF"/>
      <rgbColor rgb="FFFFF3E0"/>
      <rgbColor rgb="FF99CCFF"/>
      <rgbColor rgb="FFFF99CC"/>
      <rgbColor rgb="FFCC99FF"/>
      <rgbColor rgb="FFFFEBE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1A1A2E"/>
      <rgbColor rgb="FF993300"/>
      <rgbColor rgb="FF993366"/>
      <rgbColor rgb="FF2D4A7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1A2E"/>
    <pageSetUpPr fitToPage="false"/>
  </sheetPr>
  <dimension ref="A1:H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8" min="2" style="1" width="14"/>
  </cols>
  <sheetData>
    <row r="1" customFormat="false" ht="21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</row>
    <row r="5" customFormat="false" ht="16.5" hidden="false" customHeight="true" outlineLevel="0" collapsed="false">
      <c r="A5" s="6" t="s">
        <v>10</v>
      </c>
      <c r="B5" s="7"/>
      <c r="C5" s="7"/>
      <c r="D5" s="7"/>
      <c r="E5" s="7"/>
      <c r="F5" s="7"/>
      <c r="G5" s="7"/>
      <c r="H5" s="7"/>
    </row>
    <row r="6" customFormat="false" ht="15" hidden="false" customHeight="true" outlineLevel="0" collapsed="false">
      <c r="A6" s="8" t="s">
        <v>11</v>
      </c>
      <c r="B6" s="9" t="n">
        <v>100</v>
      </c>
      <c r="C6" s="9" t="n">
        <v>400</v>
      </c>
      <c r="D6" s="10" t="n">
        <v>500</v>
      </c>
      <c r="E6" s="10" t="n">
        <v>700</v>
      </c>
      <c r="F6" s="10" t="n">
        <v>1000</v>
      </c>
      <c r="G6" s="10" t="n">
        <v>1300</v>
      </c>
      <c r="H6" s="10" t="n">
        <v>1600</v>
      </c>
    </row>
    <row r="7" customFormat="false" ht="15" hidden="false" customHeight="true" outlineLevel="0" collapsed="false">
      <c r="A7" s="8" t="s">
        <v>12</v>
      </c>
      <c r="B7" s="9" t="n">
        <v>0</v>
      </c>
      <c r="C7" s="9" t="n">
        <v>150</v>
      </c>
      <c r="D7" s="10" t="n">
        <v>300</v>
      </c>
      <c r="E7" s="10" t="n">
        <v>500</v>
      </c>
      <c r="F7" s="10" t="n">
        <v>800</v>
      </c>
      <c r="G7" s="10" t="n">
        <v>1000</v>
      </c>
      <c r="H7" s="10" t="n">
        <v>1300</v>
      </c>
    </row>
    <row r="8" customFormat="false" ht="15" hidden="false" customHeight="true" outlineLevel="0" collapsed="false">
      <c r="A8" s="8" t="s">
        <v>13</v>
      </c>
      <c r="B8" s="9" t="n">
        <v>192</v>
      </c>
      <c r="C8" s="9" t="n">
        <v>80</v>
      </c>
      <c r="D8" s="10" t="n">
        <v>250</v>
      </c>
      <c r="E8" s="10" t="n">
        <v>500</v>
      </c>
      <c r="F8" s="10" t="n">
        <v>900</v>
      </c>
      <c r="G8" s="10" t="n">
        <v>1400</v>
      </c>
      <c r="H8" s="10" t="n">
        <v>2000</v>
      </c>
    </row>
    <row r="9" customFormat="false" ht="15" hidden="false" customHeight="true" outlineLevel="0" collapsed="false">
      <c r="A9" s="8" t="s">
        <v>14</v>
      </c>
      <c r="B9" s="9" t="n">
        <v>0</v>
      </c>
      <c r="C9" s="9" t="n">
        <v>0</v>
      </c>
      <c r="D9" s="10" t="n">
        <v>50</v>
      </c>
      <c r="E9" s="10" t="n">
        <v>200</v>
      </c>
      <c r="F9" s="10" t="n">
        <v>500</v>
      </c>
      <c r="G9" s="10" t="n">
        <v>800</v>
      </c>
      <c r="H9" s="10" t="n">
        <v>1200</v>
      </c>
    </row>
    <row r="10" customFormat="false" ht="15" hidden="false" customHeight="true" outlineLevel="0" collapsed="false">
      <c r="A10" s="8" t="s">
        <v>15</v>
      </c>
      <c r="B10" s="9" t="n">
        <v>0</v>
      </c>
      <c r="C10" s="9" t="n">
        <v>0</v>
      </c>
      <c r="D10" s="10" t="n">
        <v>0</v>
      </c>
      <c r="E10" s="10" t="n">
        <v>200</v>
      </c>
      <c r="F10" s="10" t="n">
        <v>500</v>
      </c>
      <c r="G10" s="10" t="n">
        <v>1000</v>
      </c>
      <c r="H10" s="10" t="n">
        <v>2000</v>
      </c>
    </row>
    <row r="11" customFormat="false" ht="15" hidden="false" customHeight="true" outlineLevel="0" collapsed="false">
      <c r="A11" s="8" t="s">
        <v>16</v>
      </c>
      <c r="B11" s="9" t="n">
        <v>0</v>
      </c>
      <c r="C11" s="9" t="n">
        <v>0</v>
      </c>
      <c r="D11" s="10" t="n">
        <v>0</v>
      </c>
      <c r="E11" s="10" t="n">
        <v>300</v>
      </c>
      <c r="F11" s="10" t="n">
        <v>800</v>
      </c>
      <c r="G11" s="10" t="n">
        <v>1500</v>
      </c>
      <c r="H11" s="10" t="n">
        <v>2700</v>
      </c>
    </row>
    <row r="12" customFormat="false" ht="15" hidden="false" customHeight="true" outlineLevel="0" collapsed="false">
      <c r="A12" s="11" t="s">
        <v>17</v>
      </c>
      <c r="B12" s="12" t="n">
        <f aca="false">SUM(B6:B11)</f>
        <v>292</v>
      </c>
      <c r="C12" s="12" t="n">
        <f aca="false">SUM(C6:C11)</f>
        <v>630</v>
      </c>
      <c r="D12" s="12" t="n">
        <f aca="false">SUM(D6:D11)</f>
        <v>1100</v>
      </c>
      <c r="E12" s="12" t="n">
        <f aca="false">SUM(E6:E11)</f>
        <v>2400</v>
      </c>
      <c r="F12" s="12" t="n">
        <f aca="false">SUM(F6:F11)</f>
        <v>4500</v>
      </c>
      <c r="G12" s="12" t="n">
        <f aca="false">SUM(G6:G11)</f>
        <v>7000</v>
      </c>
      <c r="H12" s="12" t="n">
        <f aca="false">SUM(H6:H11)</f>
        <v>10800</v>
      </c>
    </row>
    <row r="13" customFormat="false" ht="15" hidden="false" customHeight="true" outlineLevel="0" collapsed="false">
      <c r="A13" s="13" t="s">
        <v>18</v>
      </c>
      <c r="C13" s="14" t="n">
        <f aca="false">IF(B12=0,"-",(C12-B12)/B12)</f>
        <v>1.15753424657534</v>
      </c>
      <c r="D13" s="14" t="n">
        <f aca="false">IF(C12=0,"-",(D12-C12)/C12)</f>
        <v>0.746031746031746</v>
      </c>
      <c r="E13" s="14" t="n">
        <f aca="false">IF(D12=0,"-",(E12-D12)/D12)</f>
        <v>1.18181818181818</v>
      </c>
      <c r="F13" s="14" t="n">
        <f aca="false">IF(E12=0,"-",(F12-E12)/E12)</f>
        <v>0.875</v>
      </c>
      <c r="G13" s="14" t="n">
        <f aca="false">IF(F12=0,"-",(G12-F12)/F12)</f>
        <v>0.555555555555556</v>
      </c>
      <c r="H13" s="14" t="n">
        <f aca="false">IF(G12=0,"-",(H12-G12)/G12)</f>
        <v>0.542857142857143</v>
      </c>
    </row>
    <row r="15" customFormat="false" ht="16.5" hidden="false" customHeight="true" outlineLevel="0" collapsed="false">
      <c r="A15" s="15" t="s">
        <v>19</v>
      </c>
      <c r="B15" s="16"/>
      <c r="C15" s="16"/>
      <c r="D15" s="16"/>
      <c r="E15" s="16"/>
      <c r="F15" s="16"/>
      <c r="G15" s="16"/>
      <c r="H15" s="16"/>
    </row>
    <row r="16" customFormat="false" ht="15" hidden="false" customHeight="true" outlineLevel="0" collapsed="false">
      <c r="A16" s="17" t="s">
        <v>20</v>
      </c>
      <c r="B16" s="9" t="n">
        <v>1159</v>
      </c>
      <c r="C16" s="9" t="n">
        <v>706</v>
      </c>
      <c r="D16" s="10" t="n">
        <v>950</v>
      </c>
      <c r="E16" s="10" t="n">
        <v>1300</v>
      </c>
      <c r="F16" s="10" t="n">
        <v>1750</v>
      </c>
      <c r="G16" s="10" t="n">
        <v>2300</v>
      </c>
      <c r="H16" s="10" t="n">
        <v>3000</v>
      </c>
    </row>
    <row r="17" customFormat="false" ht="15" hidden="false" customHeight="true" outlineLevel="0" collapsed="false">
      <c r="A17" s="17" t="s">
        <v>21</v>
      </c>
      <c r="B17" s="9" t="n">
        <v>296</v>
      </c>
      <c r="C17" s="9" t="n">
        <v>208</v>
      </c>
      <c r="D17" s="10" t="n">
        <v>270</v>
      </c>
      <c r="E17" s="10" t="n">
        <v>370</v>
      </c>
      <c r="F17" s="10" t="n">
        <v>500</v>
      </c>
      <c r="G17" s="10" t="n">
        <v>660</v>
      </c>
      <c r="H17" s="10" t="n">
        <v>860</v>
      </c>
    </row>
    <row r="18" customFormat="false" ht="15" hidden="false" customHeight="true" outlineLevel="0" collapsed="false">
      <c r="A18" s="17" t="s">
        <v>22</v>
      </c>
      <c r="B18" s="9" t="n">
        <v>281</v>
      </c>
      <c r="C18" s="9" t="n">
        <v>333</v>
      </c>
      <c r="D18" s="10" t="n">
        <v>400</v>
      </c>
      <c r="E18" s="10" t="n">
        <v>500</v>
      </c>
      <c r="F18" s="10" t="n">
        <v>650</v>
      </c>
      <c r="G18" s="10" t="n">
        <v>800</v>
      </c>
      <c r="H18" s="10" t="n">
        <v>1000</v>
      </c>
    </row>
    <row r="19" customFormat="false" ht="15" hidden="false" customHeight="true" outlineLevel="0" collapsed="false">
      <c r="A19" s="17" t="s">
        <v>23</v>
      </c>
      <c r="B19" s="9" t="n">
        <v>268</v>
      </c>
      <c r="C19" s="9" t="n">
        <v>198</v>
      </c>
      <c r="D19" s="10" t="n">
        <v>220</v>
      </c>
      <c r="E19" s="10" t="n">
        <v>300</v>
      </c>
      <c r="F19" s="10" t="n">
        <v>400</v>
      </c>
      <c r="G19" s="10" t="n">
        <v>500</v>
      </c>
      <c r="H19" s="10" t="n">
        <v>600</v>
      </c>
    </row>
    <row r="20" customFormat="false" ht="15" hidden="false" customHeight="true" outlineLevel="0" collapsed="false">
      <c r="A20" s="17" t="s">
        <v>24</v>
      </c>
      <c r="B20" s="9" t="n">
        <v>350</v>
      </c>
      <c r="C20" s="9" t="n">
        <v>185</v>
      </c>
      <c r="D20" s="10" t="n">
        <v>210</v>
      </c>
      <c r="E20" s="10" t="n">
        <v>280</v>
      </c>
      <c r="F20" s="10" t="n">
        <v>350</v>
      </c>
      <c r="G20" s="10" t="n">
        <v>440</v>
      </c>
      <c r="H20" s="10" t="n">
        <v>540</v>
      </c>
    </row>
    <row r="21" customFormat="false" ht="15" hidden="false" customHeight="true" outlineLevel="0" collapsed="false">
      <c r="A21" s="18" t="s">
        <v>25</v>
      </c>
      <c r="B21" s="19" t="n">
        <f aca="false">SUM(B16:B20)</f>
        <v>2354</v>
      </c>
      <c r="C21" s="19" t="n">
        <f aca="false">SUM(C16:C20)</f>
        <v>1630</v>
      </c>
      <c r="D21" s="19" t="n">
        <f aca="false">SUM(D16:D20)</f>
        <v>2050</v>
      </c>
      <c r="E21" s="19" t="n">
        <f aca="false">SUM(E16:E20)</f>
        <v>2750</v>
      </c>
      <c r="F21" s="19" t="n">
        <f aca="false">SUM(F16:F20)</f>
        <v>3650</v>
      </c>
      <c r="G21" s="19" t="n">
        <f aca="false">SUM(G16:G20)</f>
        <v>4700</v>
      </c>
      <c r="H21" s="19" t="n">
        <f aca="false">SUM(H16:H20)</f>
        <v>6000</v>
      </c>
    </row>
    <row r="22" customFormat="false" ht="15" hidden="false" customHeight="true" outlineLevel="0" collapsed="false">
      <c r="A22" s="17" t="s">
        <v>26</v>
      </c>
      <c r="B22" s="9" t="n">
        <v>552</v>
      </c>
      <c r="C22" s="9" t="n">
        <v>768</v>
      </c>
      <c r="D22" s="10" t="n">
        <v>950</v>
      </c>
      <c r="E22" s="10" t="n">
        <v>1000</v>
      </c>
      <c r="F22" s="10" t="n">
        <v>1050</v>
      </c>
      <c r="G22" s="10" t="n">
        <v>1100</v>
      </c>
      <c r="H22" s="10" t="n">
        <v>1100</v>
      </c>
    </row>
    <row r="23" customFormat="false" ht="15" hidden="false" customHeight="true" outlineLevel="0" collapsed="false">
      <c r="A23" s="20" t="s">
        <v>27</v>
      </c>
      <c r="B23" s="21" t="n">
        <f aca="false">B21-B22</f>
        <v>1802</v>
      </c>
      <c r="C23" s="21" t="n">
        <f aca="false">C21-C22</f>
        <v>862</v>
      </c>
      <c r="D23" s="21" t="n">
        <f aca="false">D21-D22</f>
        <v>1100</v>
      </c>
      <c r="E23" s="21" t="n">
        <f aca="false">E21-E22</f>
        <v>1750</v>
      </c>
      <c r="F23" s="21" t="n">
        <f aca="false">F21-F22</f>
        <v>2600</v>
      </c>
      <c r="G23" s="21" t="n">
        <f aca="false">G21-G22</f>
        <v>3600</v>
      </c>
      <c r="H23" s="21" t="n">
        <f aca="false">H21-H22</f>
        <v>4900</v>
      </c>
    </row>
    <row r="25" customFormat="false" ht="16.5" hidden="false" customHeight="true" outlineLevel="0" collapsed="false">
      <c r="A25" s="22" t="s">
        <v>28</v>
      </c>
      <c r="B25" s="23" t="n">
        <f aca="false">B12-B23</f>
        <v>-1510</v>
      </c>
      <c r="C25" s="23" t="n">
        <f aca="false">C12-C23</f>
        <v>-232</v>
      </c>
      <c r="D25" s="23" t="n">
        <f aca="false">D12-D23</f>
        <v>0</v>
      </c>
      <c r="E25" s="23" t="n">
        <f aca="false">E12-E23</f>
        <v>650</v>
      </c>
      <c r="F25" s="23" t="n">
        <f aca="false">F12-F23</f>
        <v>1900</v>
      </c>
      <c r="G25" s="23" t="n">
        <f aca="false">G12-G23</f>
        <v>3400</v>
      </c>
      <c r="H25" s="23" t="n">
        <f aca="false">H12-H23</f>
        <v>5900</v>
      </c>
    </row>
    <row r="26" customFormat="false" ht="15" hidden="false" customHeight="true" outlineLevel="0" collapsed="false">
      <c r="A26" s="24" t="s">
        <v>29</v>
      </c>
      <c r="B26" s="14" t="n">
        <f aca="false">IF(B12=0,"-",B25/B12)</f>
        <v>-5.17123287671233</v>
      </c>
      <c r="C26" s="14" t="n">
        <f aca="false">IF(C12=0,"-",C25/C12)</f>
        <v>-0.368253968253968</v>
      </c>
      <c r="D26" s="14" t="n">
        <f aca="false">IF(D12=0,"-",D25/D12)</f>
        <v>0</v>
      </c>
      <c r="E26" s="14" t="n">
        <f aca="false">IF(E12=0,"-",E25/E12)</f>
        <v>0.270833333333333</v>
      </c>
      <c r="F26" s="14" t="n">
        <f aca="false">IF(F12=0,"-",F25/F12)</f>
        <v>0.422222222222222</v>
      </c>
      <c r="G26" s="14" t="n">
        <f aca="false">IF(G12=0,"-",G25/G12)</f>
        <v>0.485714285714286</v>
      </c>
      <c r="H26" s="14" t="n">
        <f aca="false">IF(H12=0,"-",H25/H12)</f>
        <v>0.546296296296296</v>
      </c>
    </row>
    <row r="28" customFormat="false" ht="16.5" hidden="false" customHeight="true" outlineLevel="0" collapsed="false">
      <c r="A28" s="25" t="s">
        <v>30</v>
      </c>
    </row>
    <row r="29" customFormat="false" ht="15" hidden="false" customHeight="true" outlineLevel="0" collapsed="false">
      <c r="A29" s="26" t="s">
        <v>31</v>
      </c>
      <c r="C29" s="9" t="n">
        <v>14</v>
      </c>
      <c r="D29" s="10" t="n">
        <v>18</v>
      </c>
      <c r="E29" s="10" t="n">
        <v>24</v>
      </c>
      <c r="F29" s="10" t="n">
        <v>32</v>
      </c>
      <c r="G29" s="10" t="n">
        <v>42</v>
      </c>
      <c r="H29" s="10" t="n">
        <v>55</v>
      </c>
    </row>
    <row r="30" customFormat="false" ht="15" hidden="false" customHeight="true" outlineLevel="0" collapsed="false">
      <c r="A30" s="26" t="s">
        <v>32</v>
      </c>
      <c r="C30" s="27" t="n">
        <f aca="false">IF(C29=0,"-",C12/C29)</f>
        <v>45</v>
      </c>
      <c r="D30" s="27" t="n">
        <f aca="false">IF(D29=0,"-",D12/D29)</f>
        <v>61.1111111111111</v>
      </c>
      <c r="E30" s="27" t="n">
        <f aca="false">IF(E29=0,"-",E12/E29)</f>
        <v>100</v>
      </c>
      <c r="F30" s="27" t="n">
        <f aca="false">IF(F29=0,"-",F12/F29)</f>
        <v>140.625</v>
      </c>
      <c r="G30" s="27" t="n">
        <f aca="false">IF(G29=0,"-",G12/G29)</f>
        <v>166.666666666667</v>
      </c>
      <c r="H30" s="27" t="n">
        <f aca="false">IF(H29=0,"-",H12/H29)</f>
        <v>196.363636363636</v>
      </c>
    </row>
    <row r="31" customFormat="false" ht="15" hidden="false" customHeight="true" outlineLevel="0" collapsed="false">
      <c r="A31" s="26" t="s">
        <v>33</v>
      </c>
      <c r="B31" s="28" t="n">
        <f aca="false">IF(B12=0,"-",B22/B12)</f>
        <v>1.89041095890411</v>
      </c>
      <c r="C31" s="28" t="n">
        <f aca="false">IF(C12=0,"-",C22/C12)</f>
        <v>1.21904761904762</v>
      </c>
      <c r="D31" s="28" t="n">
        <f aca="false">IF(D12=0,"-",D22/D12)</f>
        <v>0.863636363636364</v>
      </c>
      <c r="E31" s="28" t="n">
        <f aca="false">IF(E12=0,"-",E22/E12)</f>
        <v>0.416666666666667</v>
      </c>
      <c r="F31" s="28" t="n">
        <f aca="false">IF(F12=0,"-",F22/F12)</f>
        <v>0.233333333333333</v>
      </c>
      <c r="G31" s="28" t="n">
        <f aca="false">IF(G12=0,"-",G22/G12)</f>
        <v>0.157142857142857</v>
      </c>
      <c r="H31" s="28" t="n">
        <f aca="false">IF(H12=0,"-",H22/H12)</f>
        <v>0.101851851851852</v>
      </c>
    </row>
    <row r="32" customFormat="false" ht="15" hidden="false" customHeight="true" outlineLevel="0" collapsed="false">
      <c r="A32" s="29" t="s">
        <v>34</v>
      </c>
      <c r="B32" s="30" t="n">
        <v>1</v>
      </c>
      <c r="C32" s="30" t="n">
        <v>1</v>
      </c>
      <c r="D32" s="30" t="n">
        <v>1</v>
      </c>
      <c r="E32" s="30" t="n">
        <v>1</v>
      </c>
      <c r="F32" s="30" t="n">
        <v>1</v>
      </c>
      <c r="G32" s="30" t="n">
        <v>1</v>
      </c>
      <c r="H32" s="30" t="n">
        <v>1</v>
      </c>
    </row>
    <row r="34" customFormat="false" ht="16.5" hidden="false" customHeight="true" outlineLevel="0" collapsed="false">
      <c r="A34" s="25" t="s">
        <v>35</v>
      </c>
    </row>
    <row r="35" customFormat="false" ht="15" hidden="false" customHeight="true" outlineLevel="0" collapsed="false">
      <c r="A35" s="31" t="s">
        <v>36</v>
      </c>
      <c r="B35" s="32" t="s">
        <v>37</v>
      </c>
      <c r="C35" s="32"/>
      <c r="D35" s="32"/>
      <c r="E35" s="32"/>
      <c r="F35" s="32"/>
      <c r="G35" s="32"/>
      <c r="H35" s="32"/>
    </row>
    <row r="36" customFormat="false" ht="15" hidden="false" customHeight="true" outlineLevel="0" collapsed="false">
      <c r="A36" s="31" t="s">
        <v>38</v>
      </c>
      <c r="B36" s="33" t="s">
        <v>39</v>
      </c>
      <c r="C36" s="33"/>
      <c r="D36" s="33"/>
      <c r="E36" s="33"/>
      <c r="F36" s="33"/>
      <c r="G36" s="33"/>
      <c r="H36" s="33"/>
    </row>
    <row r="37" customFormat="false" ht="15" hidden="false" customHeight="true" outlineLevel="0" collapsed="false">
      <c r="A37" s="31" t="s">
        <v>40</v>
      </c>
      <c r="B37" s="32" t="s">
        <v>41</v>
      </c>
      <c r="C37" s="32"/>
      <c r="D37" s="32"/>
      <c r="E37" s="32"/>
      <c r="F37" s="32"/>
      <c r="G37" s="32"/>
      <c r="H37" s="32"/>
    </row>
    <row r="38" customFormat="false" ht="15" hidden="false" customHeight="true" outlineLevel="0" collapsed="false">
      <c r="A38" s="31" t="s">
        <v>42</v>
      </c>
      <c r="B38" s="32" t="s">
        <v>43</v>
      </c>
      <c r="C38" s="32"/>
      <c r="D38" s="32"/>
      <c r="E38" s="32"/>
      <c r="F38" s="32"/>
      <c r="G38" s="32"/>
      <c r="H38" s="32"/>
    </row>
    <row r="39" customFormat="false" ht="15" hidden="false" customHeight="true" outlineLevel="0" collapsed="false">
      <c r="A39" s="31" t="s">
        <v>44</v>
      </c>
      <c r="B39" s="32" t="s">
        <v>45</v>
      </c>
      <c r="C39" s="32"/>
      <c r="D39" s="32"/>
      <c r="E39" s="32"/>
      <c r="F39" s="32"/>
      <c r="G39" s="32"/>
      <c r="H39" s="32"/>
    </row>
    <row r="41" customFormat="false" ht="15" hidden="false" customHeight="true" outlineLevel="0" collapsed="false">
      <c r="A41" s="34" t="s">
        <v>46</v>
      </c>
    </row>
    <row r="42" customFormat="false" ht="15" hidden="false" customHeight="true" outlineLevel="0" collapsed="false">
      <c r="A42" s="35" t="s">
        <v>47</v>
      </c>
    </row>
    <row r="43" customFormat="false" ht="15" hidden="false" customHeight="true" outlineLevel="0" collapsed="false">
      <c r="A43" s="24" t="s">
        <v>48</v>
      </c>
      <c r="D43" s="36" t="n">
        <v>950</v>
      </c>
      <c r="E43" s="36" t="n">
        <v>1000</v>
      </c>
      <c r="F43" s="36" t="n">
        <v>1050</v>
      </c>
      <c r="G43" s="36" t="n">
        <v>1100</v>
      </c>
      <c r="H43" s="36" t="n">
        <v>1100</v>
      </c>
    </row>
  </sheetData>
  <mergeCells count="7">
    <mergeCell ref="A1:H1"/>
    <mergeCell ref="A2:H2"/>
    <mergeCell ref="B35:H35"/>
    <mergeCell ref="B36:H36"/>
    <mergeCell ref="B37:H37"/>
    <mergeCell ref="B38:H38"/>
    <mergeCell ref="B39:H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600"/>
    <pageSetUpPr fitToPage="false"/>
  </sheetPr>
  <dimension ref="A1:H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8" min="2" style="1" width="14"/>
  </cols>
  <sheetData>
    <row r="1" customFormat="false" ht="21" hidden="false" customHeight="true" outlineLevel="0" collapsed="false">
      <c r="A1" s="2" t="s">
        <v>49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50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</row>
    <row r="5" customFormat="false" ht="16.5" hidden="false" customHeight="true" outlineLevel="0" collapsed="false">
      <c r="A5" s="37" t="s">
        <v>10</v>
      </c>
      <c r="B5" s="38"/>
      <c r="C5" s="38"/>
      <c r="D5" s="38"/>
      <c r="E5" s="38"/>
      <c r="F5" s="38"/>
      <c r="G5" s="38"/>
      <c r="H5" s="38"/>
    </row>
    <row r="6" customFormat="false" ht="15" hidden="false" customHeight="true" outlineLevel="0" collapsed="false">
      <c r="A6" s="8" t="s">
        <v>11</v>
      </c>
      <c r="B6" s="9" t="n">
        <v>100</v>
      </c>
      <c r="C6" s="9" t="n">
        <v>400</v>
      </c>
      <c r="D6" s="10" t="n">
        <v>650</v>
      </c>
      <c r="E6" s="10" t="n">
        <v>1100</v>
      </c>
      <c r="F6" s="10" t="n">
        <v>1800</v>
      </c>
      <c r="G6" s="10" t="n">
        <v>2500</v>
      </c>
      <c r="H6" s="10" t="n">
        <v>3200</v>
      </c>
    </row>
    <row r="7" customFormat="false" ht="15" hidden="false" customHeight="true" outlineLevel="0" collapsed="false">
      <c r="A7" s="8" t="s">
        <v>12</v>
      </c>
      <c r="B7" s="9" t="n">
        <v>0</v>
      </c>
      <c r="C7" s="9" t="n">
        <v>150</v>
      </c>
      <c r="D7" s="10" t="n">
        <v>350</v>
      </c>
      <c r="E7" s="10" t="n">
        <v>700</v>
      </c>
      <c r="F7" s="10" t="n">
        <v>1100</v>
      </c>
      <c r="G7" s="10" t="n">
        <v>1500</v>
      </c>
      <c r="H7" s="10" t="n">
        <v>2000</v>
      </c>
    </row>
    <row r="8" customFormat="false" ht="15" hidden="false" customHeight="true" outlineLevel="0" collapsed="false">
      <c r="A8" s="8" t="s">
        <v>13</v>
      </c>
      <c r="B8" s="9" t="n">
        <v>192</v>
      </c>
      <c r="C8" s="9" t="n">
        <v>80</v>
      </c>
      <c r="D8" s="10" t="n">
        <v>350</v>
      </c>
      <c r="E8" s="10" t="n">
        <v>800</v>
      </c>
      <c r="F8" s="10" t="n">
        <v>1500</v>
      </c>
      <c r="G8" s="10" t="n">
        <v>2500</v>
      </c>
      <c r="H8" s="10" t="n">
        <v>3800</v>
      </c>
    </row>
    <row r="9" customFormat="false" ht="15" hidden="false" customHeight="true" outlineLevel="0" collapsed="false">
      <c r="A9" s="8" t="s">
        <v>14</v>
      </c>
      <c r="B9" s="9" t="n">
        <v>0</v>
      </c>
      <c r="C9" s="9" t="n">
        <v>0</v>
      </c>
      <c r="D9" s="10" t="n">
        <v>100</v>
      </c>
      <c r="E9" s="10" t="n">
        <v>500</v>
      </c>
      <c r="F9" s="10" t="n">
        <v>1000</v>
      </c>
      <c r="G9" s="10" t="n">
        <v>1800</v>
      </c>
      <c r="H9" s="10" t="n">
        <v>2800</v>
      </c>
    </row>
    <row r="10" customFormat="false" ht="15" hidden="false" customHeight="true" outlineLevel="0" collapsed="false">
      <c r="A10" s="8" t="s">
        <v>51</v>
      </c>
      <c r="B10" s="9" t="n">
        <v>0</v>
      </c>
      <c r="C10" s="9" t="n">
        <v>0</v>
      </c>
      <c r="D10" s="10" t="n">
        <v>100</v>
      </c>
      <c r="E10" s="10" t="n">
        <v>850</v>
      </c>
      <c r="F10" s="10" t="n">
        <v>1900</v>
      </c>
      <c r="G10" s="10" t="n">
        <v>3700</v>
      </c>
      <c r="H10" s="10" t="n">
        <v>5700</v>
      </c>
    </row>
    <row r="11" customFormat="false" ht="15" hidden="false" customHeight="true" outlineLevel="0" collapsed="false">
      <c r="A11" s="8" t="s">
        <v>16</v>
      </c>
      <c r="B11" s="9" t="n">
        <v>0</v>
      </c>
      <c r="C11" s="9" t="n">
        <v>0</v>
      </c>
      <c r="D11" s="10" t="n">
        <v>100</v>
      </c>
      <c r="E11" s="10" t="n">
        <v>960</v>
      </c>
      <c r="F11" s="10" t="n">
        <v>2200</v>
      </c>
      <c r="G11" s="10" t="n">
        <v>4000</v>
      </c>
      <c r="H11" s="10" t="n">
        <v>6200</v>
      </c>
    </row>
    <row r="12" customFormat="false" ht="15" hidden="false" customHeight="true" outlineLevel="0" collapsed="false">
      <c r="A12" s="39" t="s">
        <v>17</v>
      </c>
      <c r="B12" s="40" t="n">
        <f aca="false">SUM(B6:B11)</f>
        <v>292</v>
      </c>
      <c r="C12" s="40" t="n">
        <f aca="false">SUM(C6:C11)</f>
        <v>630</v>
      </c>
      <c r="D12" s="40" t="n">
        <f aca="false">SUM(D6:D11)</f>
        <v>1650</v>
      </c>
      <c r="E12" s="40" t="n">
        <f aca="false">SUM(E6:E11)</f>
        <v>4910</v>
      </c>
      <c r="F12" s="40" t="n">
        <f aca="false">SUM(F6:F11)</f>
        <v>9500</v>
      </c>
      <c r="G12" s="40" t="n">
        <f aca="false">SUM(G6:G11)</f>
        <v>16000</v>
      </c>
      <c r="H12" s="40" t="n">
        <f aca="false">SUM(H6:H11)</f>
        <v>23700</v>
      </c>
    </row>
    <row r="13" customFormat="false" ht="15" hidden="false" customHeight="true" outlineLevel="0" collapsed="false">
      <c r="A13" s="13" t="s">
        <v>18</v>
      </c>
      <c r="C13" s="14" t="n">
        <f aca="false">IF(B12=0,"-",(C12-B12)/B12)</f>
        <v>1.15753424657534</v>
      </c>
      <c r="D13" s="14" t="n">
        <f aca="false">IF(C12=0,"-",(D12-C12)/C12)</f>
        <v>1.61904761904762</v>
      </c>
      <c r="E13" s="14" t="n">
        <f aca="false">IF(D12=0,"-",(E12-D12)/D12)</f>
        <v>1.97575757575758</v>
      </c>
      <c r="F13" s="14" t="n">
        <f aca="false">IF(E12=0,"-",(F12-E12)/E12)</f>
        <v>0.934826883910387</v>
      </c>
      <c r="G13" s="14" t="n">
        <f aca="false">IF(F12=0,"-",(G12-F12)/F12)</f>
        <v>0.68421052631579</v>
      </c>
      <c r="H13" s="14" t="n">
        <f aca="false">IF(G12=0,"-",(H12-G12)/G12)</f>
        <v>0.48125</v>
      </c>
    </row>
    <row r="15" customFormat="false" ht="16.5" hidden="false" customHeight="true" outlineLevel="0" collapsed="false">
      <c r="A15" s="15" t="s">
        <v>19</v>
      </c>
      <c r="B15" s="16"/>
      <c r="C15" s="16"/>
      <c r="D15" s="16"/>
      <c r="E15" s="16"/>
      <c r="F15" s="16"/>
      <c r="G15" s="16"/>
      <c r="H15" s="16"/>
    </row>
    <row r="16" customFormat="false" ht="15" hidden="false" customHeight="true" outlineLevel="0" collapsed="false">
      <c r="A16" s="17" t="s">
        <v>20</v>
      </c>
      <c r="B16" s="9" t="n">
        <v>1159</v>
      </c>
      <c r="C16" s="9" t="n">
        <v>706</v>
      </c>
      <c r="D16" s="10" t="n">
        <v>1150</v>
      </c>
      <c r="E16" s="10" t="n">
        <v>1700</v>
      </c>
      <c r="F16" s="10" t="n">
        <v>2400</v>
      </c>
      <c r="G16" s="10" t="n">
        <v>3200</v>
      </c>
      <c r="H16" s="10" t="n">
        <v>4200</v>
      </c>
    </row>
    <row r="17" customFormat="false" ht="15" hidden="false" customHeight="true" outlineLevel="0" collapsed="false">
      <c r="A17" s="17" t="s">
        <v>21</v>
      </c>
      <c r="B17" s="9" t="n">
        <v>296</v>
      </c>
      <c r="C17" s="9" t="n">
        <v>208</v>
      </c>
      <c r="D17" s="10" t="n">
        <v>330</v>
      </c>
      <c r="E17" s="10" t="n">
        <v>490</v>
      </c>
      <c r="F17" s="10" t="n">
        <v>690</v>
      </c>
      <c r="G17" s="10" t="n">
        <v>920</v>
      </c>
      <c r="H17" s="10" t="n">
        <v>1210</v>
      </c>
    </row>
    <row r="18" customFormat="false" ht="15" hidden="false" customHeight="true" outlineLevel="0" collapsed="false">
      <c r="A18" s="17" t="s">
        <v>22</v>
      </c>
      <c r="B18" s="9" t="n">
        <v>281</v>
      </c>
      <c r="C18" s="9" t="n">
        <v>333</v>
      </c>
      <c r="D18" s="10" t="n">
        <v>500</v>
      </c>
      <c r="E18" s="10" t="n">
        <v>650</v>
      </c>
      <c r="F18" s="10" t="n">
        <v>850</v>
      </c>
      <c r="G18" s="10" t="n">
        <v>1050</v>
      </c>
      <c r="H18" s="10" t="n">
        <v>1300</v>
      </c>
    </row>
    <row r="19" customFormat="false" ht="15" hidden="false" customHeight="true" outlineLevel="0" collapsed="false">
      <c r="A19" s="17" t="s">
        <v>23</v>
      </c>
      <c r="B19" s="9" t="n">
        <v>268</v>
      </c>
      <c r="C19" s="9" t="n">
        <v>198</v>
      </c>
      <c r="D19" s="10" t="n">
        <v>280</v>
      </c>
      <c r="E19" s="10" t="n">
        <v>400</v>
      </c>
      <c r="F19" s="10" t="n">
        <v>550</v>
      </c>
      <c r="G19" s="10" t="n">
        <v>700</v>
      </c>
      <c r="H19" s="10" t="n">
        <v>850</v>
      </c>
    </row>
    <row r="20" customFormat="false" ht="15" hidden="false" customHeight="true" outlineLevel="0" collapsed="false">
      <c r="A20" s="17" t="s">
        <v>52</v>
      </c>
      <c r="B20" s="9" t="n">
        <v>350</v>
      </c>
      <c r="C20" s="9" t="n">
        <v>185</v>
      </c>
      <c r="D20" s="10" t="n">
        <v>290</v>
      </c>
      <c r="E20" s="10" t="n">
        <v>460</v>
      </c>
      <c r="F20" s="10" t="n">
        <v>610</v>
      </c>
      <c r="G20" s="10" t="n">
        <v>780</v>
      </c>
      <c r="H20" s="10" t="n">
        <v>940</v>
      </c>
    </row>
    <row r="21" customFormat="false" ht="15" hidden="false" customHeight="true" outlineLevel="0" collapsed="false">
      <c r="A21" s="18" t="s">
        <v>25</v>
      </c>
      <c r="B21" s="19" t="n">
        <f aca="false">SUM(B16:B20)</f>
        <v>2354</v>
      </c>
      <c r="C21" s="19" t="n">
        <f aca="false">SUM(C16:C20)</f>
        <v>1630</v>
      </c>
      <c r="D21" s="19" t="n">
        <f aca="false">SUM(D16:D20)</f>
        <v>2550</v>
      </c>
      <c r="E21" s="19" t="n">
        <f aca="false">SUM(E16:E20)</f>
        <v>3700</v>
      </c>
      <c r="F21" s="19" t="n">
        <f aca="false">SUM(F16:F20)</f>
        <v>5100</v>
      </c>
      <c r="G21" s="19" t="n">
        <f aca="false">SUM(G16:G20)</f>
        <v>6650</v>
      </c>
      <c r="H21" s="19" t="n">
        <f aca="false">SUM(H16:H20)</f>
        <v>8500</v>
      </c>
    </row>
    <row r="22" customFormat="false" ht="15" hidden="false" customHeight="true" outlineLevel="0" collapsed="false">
      <c r="A22" s="17" t="s">
        <v>26</v>
      </c>
      <c r="B22" s="9" t="n">
        <v>552</v>
      </c>
      <c r="C22" s="9" t="n">
        <v>768</v>
      </c>
      <c r="D22" s="10" t="n">
        <v>1000</v>
      </c>
      <c r="E22" s="10" t="n">
        <v>1100</v>
      </c>
      <c r="F22" s="10" t="n">
        <v>1150</v>
      </c>
      <c r="G22" s="10" t="n">
        <v>1200</v>
      </c>
      <c r="H22" s="10" t="n">
        <v>1200</v>
      </c>
    </row>
    <row r="23" customFormat="false" ht="15" hidden="false" customHeight="true" outlineLevel="0" collapsed="false">
      <c r="A23" s="20" t="s">
        <v>27</v>
      </c>
      <c r="B23" s="21" t="n">
        <f aca="false">B21-B22</f>
        <v>1802</v>
      </c>
      <c r="C23" s="21" t="n">
        <f aca="false">C21-C22</f>
        <v>862</v>
      </c>
      <c r="D23" s="21" t="n">
        <f aca="false">D21-D22</f>
        <v>1550</v>
      </c>
      <c r="E23" s="21" t="n">
        <f aca="false">E21-E22</f>
        <v>2600</v>
      </c>
      <c r="F23" s="21" t="n">
        <f aca="false">F21-F22</f>
        <v>3950</v>
      </c>
      <c r="G23" s="21" t="n">
        <f aca="false">G21-G22</f>
        <v>5450</v>
      </c>
      <c r="H23" s="21" t="n">
        <f aca="false">H21-H22</f>
        <v>7300</v>
      </c>
    </row>
    <row r="25" customFormat="false" ht="16.5" hidden="false" customHeight="true" outlineLevel="0" collapsed="false">
      <c r="A25" s="22" t="s">
        <v>28</v>
      </c>
      <c r="B25" s="23" t="n">
        <f aca="false">B12-B23</f>
        <v>-1510</v>
      </c>
      <c r="C25" s="23" t="n">
        <f aca="false">C12-C23</f>
        <v>-232</v>
      </c>
      <c r="D25" s="23" t="n">
        <f aca="false">D12-D23</f>
        <v>100</v>
      </c>
      <c r="E25" s="23" t="n">
        <f aca="false">E12-E23</f>
        <v>2310</v>
      </c>
      <c r="F25" s="23" t="n">
        <f aca="false">F12-F23</f>
        <v>5550</v>
      </c>
      <c r="G25" s="23" t="n">
        <f aca="false">G12-G23</f>
        <v>10550</v>
      </c>
      <c r="H25" s="23" t="n">
        <f aca="false">H12-H23</f>
        <v>16400</v>
      </c>
    </row>
    <row r="26" customFormat="false" ht="15" hidden="false" customHeight="true" outlineLevel="0" collapsed="false">
      <c r="A26" s="24" t="s">
        <v>29</v>
      </c>
      <c r="B26" s="14" t="n">
        <f aca="false">IF(B12=0,"-",B25/B12)</f>
        <v>-5.17123287671233</v>
      </c>
      <c r="C26" s="14" t="n">
        <f aca="false">IF(C12=0,"-",C25/C12)</f>
        <v>-0.368253968253968</v>
      </c>
      <c r="D26" s="14" t="n">
        <f aca="false">IF(D12=0,"-",D25/D12)</f>
        <v>0.0606060606060606</v>
      </c>
      <c r="E26" s="14" t="n">
        <f aca="false">IF(E12=0,"-",E25/E12)</f>
        <v>0.470468431771894</v>
      </c>
      <c r="F26" s="14" t="n">
        <f aca="false">IF(F12=0,"-",F25/F12)</f>
        <v>0.58421052631579</v>
      </c>
      <c r="G26" s="14" t="n">
        <f aca="false">IF(G12=0,"-",G25/G12)</f>
        <v>0.659375</v>
      </c>
      <c r="H26" s="14" t="n">
        <f aca="false">IF(H12=0,"-",H25/H12)</f>
        <v>0.691983122362869</v>
      </c>
    </row>
    <row r="28" customFormat="false" ht="16.5" hidden="false" customHeight="true" outlineLevel="0" collapsed="false">
      <c r="A28" s="25" t="s">
        <v>30</v>
      </c>
    </row>
    <row r="29" customFormat="false" ht="15" hidden="false" customHeight="true" outlineLevel="0" collapsed="false">
      <c r="A29" s="26" t="s">
        <v>31</v>
      </c>
      <c r="C29" s="9" t="n">
        <v>14</v>
      </c>
      <c r="D29" s="10" t="n">
        <v>22</v>
      </c>
      <c r="E29" s="10" t="n">
        <v>32</v>
      </c>
      <c r="F29" s="10" t="n">
        <v>44</v>
      </c>
      <c r="G29" s="10" t="n">
        <v>58</v>
      </c>
      <c r="H29" s="10" t="n">
        <v>75</v>
      </c>
    </row>
    <row r="30" customFormat="false" ht="15" hidden="false" customHeight="true" outlineLevel="0" collapsed="false">
      <c r="A30" s="26" t="s">
        <v>32</v>
      </c>
      <c r="C30" s="27" t="n">
        <f aca="false">IF(C29=0,"-",C12/C29)</f>
        <v>45</v>
      </c>
      <c r="D30" s="27" t="n">
        <f aca="false">IF(D29=0,"-",D12/D29)</f>
        <v>75</v>
      </c>
      <c r="E30" s="27" t="n">
        <f aca="false">IF(E29=0,"-",E12/E29)</f>
        <v>153.4375</v>
      </c>
      <c r="F30" s="27" t="n">
        <f aca="false">IF(F29=0,"-",F12/F29)</f>
        <v>215.909090909091</v>
      </c>
      <c r="G30" s="27" t="n">
        <f aca="false">IF(G29=0,"-",G12/G29)</f>
        <v>275.862068965517</v>
      </c>
      <c r="H30" s="27" t="n">
        <f aca="false">IF(H29=0,"-",H12/H29)</f>
        <v>316</v>
      </c>
    </row>
    <row r="31" customFormat="false" ht="15" hidden="false" customHeight="true" outlineLevel="0" collapsed="false">
      <c r="A31" s="26" t="s">
        <v>33</v>
      </c>
      <c r="B31" s="28" t="n">
        <f aca="false">IF(B12=0,"-",B22/B12)</f>
        <v>1.89041095890411</v>
      </c>
      <c r="C31" s="28" t="n">
        <f aca="false">IF(C12=0,"-",C22/C12)</f>
        <v>1.21904761904762</v>
      </c>
      <c r="D31" s="28" t="n">
        <f aca="false">IF(D12=0,"-",D22/D12)</f>
        <v>0.606060606060606</v>
      </c>
      <c r="E31" s="28" t="n">
        <f aca="false">IF(E12=0,"-",E22/E12)</f>
        <v>0.224032586558045</v>
      </c>
      <c r="F31" s="28" t="n">
        <f aca="false">IF(F12=0,"-",F22/F12)</f>
        <v>0.121052631578947</v>
      </c>
      <c r="G31" s="28" t="n">
        <f aca="false">IF(G12=0,"-",G22/G12)</f>
        <v>0.075</v>
      </c>
      <c r="H31" s="28" t="n">
        <f aca="false">IF(H12=0,"-",H22/H12)</f>
        <v>0.0506329113924051</v>
      </c>
    </row>
    <row r="32" customFormat="false" ht="15" hidden="false" customHeight="true" outlineLevel="0" collapsed="false">
      <c r="A32" s="29" t="s">
        <v>34</v>
      </c>
      <c r="B32" s="30" t="n">
        <v>1</v>
      </c>
      <c r="C32" s="30" t="n">
        <v>1</v>
      </c>
      <c r="D32" s="30" t="n">
        <v>1</v>
      </c>
      <c r="E32" s="30" t="n">
        <v>1</v>
      </c>
      <c r="F32" s="30" t="n">
        <v>1</v>
      </c>
      <c r="G32" s="30" t="n">
        <v>1</v>
      </c>
      <c r="H32" s="30" t="n">
        <v>1</v>
      </c>
    </row>
    <row r="34" customFormat="false" ht="16.5" hidden="false" customHeight="true" outlineLevel="0" collapsed="false">
      <c r="A34" s="25" t="s">
        <v>35</v>
      </c>
    </row>
    <row r="35" customFormat="false" ht="15" hidden="false" customHeight="true" outlineLevel="0" collapsed="false">
      <c r="A35" s="31" t="s">
        <v>53</v>
      </c>
      <c r="B35" s="32" t="s">
        <v>54</v>
      </c>
      <c r="C35" s="32"/>
      <c r="D35" s="32"/>
      <c r="E35" s="32"/>
      <c r="F35" s="32"/>
      <c r="G35" s="32"/>
      <c r="H35" s="32"/>
    </row>
    <row r="36" customFormat="false" ht="15" hidden="false" customHeight="true" outlineLevel="0" collapsed="false">
      <c r="A36" s="31" t="s">
        <v>36</v>
      </c>
      <c r="B36" s="32" t="s">
        <v>55</v>
      </c>
      <c r="C36" s="32"/>
      <c r="D36" s="32"/>
      <c r="E36" s="32"/>
      <c r="F36" s="32"/>
      <c r="G36" s="32"/>
      <c r="H36" s="32"/>
    </row>
    <row r="37" customFormat="false" ht="15" hidden="false" customHeight="true" outlineLevel="0" collapsed="false">
      <c r="A37" s="31" t="s">
        <v>56</v>
      </c>
      <c r="B37" s="32" t="s">
        <v>57</v>
      </c>
      <c r="C37" s="32"/>
      <c r="D37" s="32"/>
      <c r="E37" s="32"/>
      <c r="F37" s="32"/>
      <c r="G37" s="32"/>
      <c r="H37" s="32"/>
    </row>
    <row r="38" customFormat="false" ht="15" hidden="false" customHeight="true" outlineLevel="0" collapsed="false">
      <c r="A38" s="31" t="s">
        <v>38</v>
      </c>
      <c r="B38" s="32" t="s">
        <v>58</v>
      </c>
      <c r="C38" s="32"/>
      <c r="D38" s="32"/>
      <c r="E38" s="32"/>
      <c r="F38" s="32"/>
      <c r="G38" s="32"/>
      <c r="H38" s="32"/>
    </row>
    <row r="39" customFormat="false" ht="15" hidden="false" customHeight="true" outlineLevel="0" collapsed="false">
      <c r="A39" s="31" t="s">
        <v>40</v>
      </c>
      <c r="B39" s="32" t="s">
        <v>59</v>
      </c>
      <c r="C39" s="32"/>
      <c r="D39" s="32"/>
      <c r="E39" s="32"/>
      <c r="F39" s="32"/>
      <c r="G39" s="32"/>
      <c r="H39" s="32"/>
    </row>
    <row r="40" customFormat="false" ht="15" hidden="false" customHeight="true" outlineLevel="0" collapsed="false">
      <c r="A40" s="31" t="s">
        <v>42</v>
      </c>
      <c r="B40" s="32" t="s">
        <v>60</v>
      </c>
      <c r="C40" s="32"/>
      <c r="D40" s="32"/>
      <c r="E40" s="32"/>
      <c r="F40" s="32"/>
      <c r="G40" s="32"/>
      <c r="H40" s="32"/>
    </row>
    <row r="41" customFormat="false" ht="15" hidden="false" customHeight="true" outlineLevel="0" collapsed="false">
      <c r="A41" s="31" t="s">
        <v>44</v>
      </c>
      <c r="B41" s="32" t="s">
        <v>61</v>
      </c>
      <c r="C41" s="32"/>
      <c r="D41" s="32"/>
      <c r="E41" s="32"/>
      <c r="F41" s="32"/>
      <c r="G41" s="32"/>
      <c r="H41" s="32"/>
    </row>
    <row r="43" customFormat="false" ht="15" hidden="false" customHeight="true" outlineLevel="0" collapsed="false">
      <c r="A43" s="34" t="s">
        <v>46</v>
      </c>
    </row>
    <row r="44" customFormat="false" ht="15" hidden="false" customHeight="true" outlineLevel="0" collapsed="false">
      <c r="A44" s="35" t="s">
        <v>47</v>
      </c>
    </row>
    <row r="45" customFormat="false" ht="15" hidden="false" customHeight="true" outlineLevel="0" collapsed="false">
      <c r="A45" s="24" t="s">
        <v>48</v>
      </c>
      <c r="D45" s="36" t="n">
        <v>1000</v>
      </c>
      <c r="E45" s="36" t="n">
        <v>1100</v>
      </c>
      <c r="F45" s="36" t="n">
        <v>1150</v>
      </c>
      <c r="G45" s="36" t="n">
        <v>1200</v>
      </c>
      <c r="H45" s="36" t="n">
        <v>1200</v>
      </c>
    </row>
  </sheetData>
  <mergeCells count="9">
    <mergeCell ref="A1:H1"/>
    <mergeCell ref="A2:H2"/>
    <mergeCell ref="B35:H35"/>
    <mergeCell ref="B36:H36"/>
    <mergeCell ref="B37:H37"/>
    <mergeCell ref="B38:H38"/>
    <mergeCell ref="B39:H39"/>
    <mergeCell ref="B40:H40"/>
    <mergeCell ref="B41:H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000"/>
    <pageSetUpPr fitToPage="false"/>
  </sheetPr>
  <dimension ref="A1:H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8" min="2" style="1" width="14"/>
  </cols>
  <sheetData>
    <row r="1" customFormat="false" ht="21" hidden="false" customHeight="true" outlineLevel="0" collapsed="false">
      <c r="A1" s="2" t="s">
        <v>62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63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</row>
    <row r="5" customFormat="false" ht="15" hidden="false" customHeight="true" outlineLevel="0" collapsed="false">
      <c r="A5" s="41" t="s">
        <v>64</v>
      </c>
      <c r="B5" s="42" t="n">
        <v>292</v>
      </c>
      <c r="C5" s="42" t="n">
        <v>630</v>
      </c>
      <c r="D5" s="42" t="n">
        <v>1100</v>
      </c>
      <c r="E5" s="42" t="n">
        <v>2400</v>
      </c>
      <c r="F5" s="42" t="n">
        <v>4500</v>
      </c>
      <c r="G5" s="42" t="n">
        <v>7000</v>
      </c>
      <c r="H5" s="42" t="n">
        <v>10800</v>
      </c>
    </row>
    <row r="6" customFormat="false" ht="15" hidden="false" customHeight="true" outlineLevel="0" collapsed="false">
      <c r="A6" s="39" t="s">
        <v>65</v>
      </c>
      <c r="B6" s="43" t="n">
        <v>292</v>
      </c>
      <c r="C6" s="43" t="n">
        <v>630</v>
      </c>
      <c r="D6" s="43" t="n">
        <v>1650</v>
      </c>
      <c r="E6" s="43" t="n">
        <v>4910</v>
      </c>
      <c r="F6" s="43" t="n">
        <v>9500</v>
      </c>
      <c r="G6" s="43" t="n">
        <v>16000</v>
      </c>
      <c r="H6" s="43" t="n">
        <v>23700</v>
      </c>
    </row>
    <row r="7" customFormat="false" ht="15" hidden="false" customHeight="true" outlineLevel="0" collapsed="false">
      <c r="A7" s="44" t="s">
        <v>66</v>
      </c>
      <c r="B7" s="45" t="n">
        <v>0</v>
      </c>
      <c r="C7" s="45" t="n">
        <v>0</v>
      </c>
      <c r="D7" s="45" t="n">
        <v>550</v>
      </c>
      <c r="E7" s="45" t="n">
        <v>2510</v>
      </c>
      <c r="F7" s="45" t="n">
        <v>5000</v>
      </c>
      <c r="G7" s="45" t="n">
        <v>9000</v>
      </c>
      <c r="H7" s="45" t="n">
        <v>12900</v>
      </c>
    </row>
    <row r="8" customFormat="false" ht="15" hidden="false" customHeight="true" outlineLevel="0" collapsed="false">
      <c r="A8" s="26"/>
    </row>
    <row r="9" customFormat="false" ht="15" hidden="false" customHeight="true" outlineLevel="0" collapsed="false">
      <c r="A9" s="41" t="s">
        <v>67</v>
      </c>
      <c r="D9" s="42" t="n">
        <v>100</v>
      </c>
      <c r="E9" s="42" t="n">
        <v>650</v>
      </c>
      <c r="F9" s="42" t="n">
        <v>1700</v>
      </c>
      <c r="G9" s="42" t="n">
        <v>3200</v>
      </c>
      <c r="H9" s="42" t="n">
        <v>5800</v>
      </c>
    </row>
    <row r="10" customFormat="false" ht="15" hidden="false" customHeight="true" outlineLevel="0" collapsed="false">
      <c r="A10" s="39" t="s">
        <v>68</v>
      </c>
      <c r="D10" s="43" t="n">
        <v>300</v>
      </c>
      <c r="E10" s="43" t="n">
        <v>1800</v>
      </c>
      <c r="F10" s="43" t="n">
        <v>5000</v>
      </c>
      <c r="G10" s="43" t="n">
        <v>9500</v>
      </c>
      <c r="H10" s="43" t="n">
        <v>13000</v>
      </c>
    </row>
    <row r="11" customFormat="false" ht="15" hidden="false" customHeight="true" outlineLevel="0" collapsed="false">
      <c r="A11" s="26"/>
    </row>
    <row r="12" customFormat="false" ht="15" hidden="false" customHeight="true" outlineLevel="0" collapsed="false">
      <c r="A12" s="41" t="s">
        <v>69</v>
      </c>
      <c r="C12" s="42" t="n">
        <v>14</v>
      </c>
      <c r="D12" s="42" t="n">
        <v>18</v>
      </c>
      <c r="E12" s="42" t="n">
        <v>24</v>
      </c>
      <c r="F12" s="42" t="n">
        <v>32</v>
      </c>
      <c r="G12" s="42" t="n">
        <v>42</v>
      </c>
      <c r="H12" s="42" t="n">
        <v>55</v>
      </c>
    </row>
    <row r="13" customFormat="false" ht="15" hidden="false" customHeight="true" outlineLevel="0" collapsed="false">
      <c r="A13" s="39" t="s">
        <v>70</v>
      </c>
      <c r="C13" s="43" t="n">
        <v>14</v>
      </c>
      <c r="D13" s="43" t="n">
        <v>22</v>
      </c>
      <c r="E13" s="43" t="n">
        <v>35</v>
      </c>
      <c r="F13" s="43" t="n">
        <v>48</v>
      </c>
      <c r="G13" s="43" t="n">
        <v>65</v>
      </c>
      <c r="H13" s="43" t="n">
        <v>85</v>
      </c>
    </row>
    <row r="14" customFormat="false" ht="15" hidden="false" customHeight="true" outlineLevel="0" collapsed="false">
      <c r="A14" s="26"/>
    </row>
    <row r="15" customFormat="false" ht="15" hidden="false" customHeight="true" outlineLevel="0" collapsed="false">
      <c r="A15" s="41" t="s">
        <v>71</v>
      </c>
      <c r="D15" s="42" t="n">
        <v>61</v>
      </c>
      <c r="E15" s="42" t="n">
        <v>100</v>
      </c>
      <c r="F15" s="42" t="n">
        <v>141</v>
      </c>
      <c r="G15" s="42" t="n">
        <v>167</v>
      </c>
      <c r="H15" s="42" t="n">
        <v>196</v>
      </c>
    </row>
    <row r="16" customFormat="false" ht="15" hidden="false" customHeight="true" outlineLevel="0" collapsed="false">
      <c r="A16" s="39" t="s">
        <v>72</v>
      </c>
      <c r="B16" s="46" t="n">
        <v>292</v>
      </c>
      <c r="C16" s="46" t="n">
        <v>630</v>
      </c>
      <c r="D16" s="43" t="n">
        <v>1650</v>
      </c>
      <c r="E16" s="43" t="n">
        <v>4910</v>
      </c>
      <c r="F16" s="43" t="n">
        <v>9500</v>
      </c>
      <c r="G16" s="43" t="n">
        <v>16000</v>
      </c>
      <c r="H16" s="43" t="n">
        <v>23700</v>
      </c>
    </row>
    <row r="18" customFormat="false" ht="16.5" hidden="false" customHeight="true" outlineLevel="0" collapsed="false">
      <c r="A18" s="47" t="s">
        <v>73</v>
      </c>
    </row>
    <row r="19" customFormat="false" ht="15" hidden="false" customHeight="true" outlineLevel="0" collapsed="false">
      <c r="A19" s="48" t="s">
        <v>74</v>
      </c>
      <c r="B19" s="48" t="s">
        <v>75</v>
      </c>
      <c r="C19" s="48" t="s">
        <v>76</v>
      </c>
    </row>
    <row r="20" customFormat="false" ht="15" hidden="false" customHeight="true" outlineLevel="0" collapsed="false">
      <c r="A20" s="49" t="s">
        <v>77</v>
      </c>
      <c r="B20" s="50" t="s">
        <v>78</v>
      </c>
      <c r="C20" s="51" t="s">
        <v>79</v>
      </c>
    </row>
    <row r="21" customFormat="false" ht="15" hidden="false" customHeight="true" outlineLevel="0" collapsed="false">
      <c r="A21" s="52" t="s">
        <v>80</v>
      </c>
      <c r="B21" s="50" t="s">
        <v>81</v>
      </c>
      <c r="C21" s="53" t="s">
        <v>82</v>
      </c>
    </row>
    <row r="22" customFormat="false" ht="15" hidden="false" customHeight="true" outlineLevel="0" collapsed="false">
      <c r="A22" s="52" t="s">
        <v>83</v>
      </c>
      <c r="B22" s="50" t="s">
        <v>84</v>
      </c>
      <c r="C22" s="51" t="s">
        <v>85</v>
      </c>
    </row>
    <row r="23" customFormat="false" ht="15" hidden="false" customHeight="true" outlineLevel="0" collapsed="false">
      <c r="A23" s="49" t="s">
        <v>86</v>
      </c>
      <c r="B23" s="50" t="s">
        <v>87</v>
      </c>
      <c r="C23" s="51" t="s">
        <v>88</v>
      </c>
    </row>
    <row r="24" customFormat="false" ht="15" hidden="false" customHeight="true" outlineLevel="0" collapsed="false">
      <c r="A24" s="49" t="s">
        <v>89</v>
      </c>
      <c r="B24" s="50" t="s">
        <v>87</v>
      </c>
      <c r="C24" s="51" t="s">
        <v>90</v>
      </c>
    </row>
    <row r="26" customFormat="false" ht="15" hidden="false" customHeight="true" outlineLevel="0" collapsed="false">
      <c r="A26" s="25" t="s">
        <v>91</v>
      </c>
    </row>
    <row r="27" customFormat="false" ht="15" hidden="false" customHeight="true" outlineLevel="0" collapsed="false">
      <c r="A27" s="49" t="s">
        <v>34</v>
      </c>
      <c r="B27" s="50" t="s">
        <v>92</v>
      </c>
      <c r="C27" s="51" t="s">
        <v>93</v>
      </c>
    </row>
    <row r="28" customFormat="false" ht="15" hidden="false" customHeight="true" outlineLevel="0" collapsed="false">
      <c r="A28" s="52" t="s">
        <v>94</v>
      </c>
      <c r="B28" s="50" t="s">
        <v>95</v>
      </c>
      <c r="C28" s="51" t="s">
        <v>96</v>
      </c>
    </row>
    <row r="29" customFormat="false" ht="15" hidden="false" customHeight="true" outlineLevel="0" collapsed="false">
      <c r="A29" s="49" t="s">
        <v>97</v>
      </c>
      <c r="B29" s="50" t="s">
        <v>98</v>
      </c>
      <c r="C29" s="51" t="s">
        <v>99</v>
      </c>
    </row>
    <row r="30" customFormat="false" ht="15" hidden="false" customHeight="true" outlineLevel="0" collapsed="false">
      <c r="A30" s="52" t="s">
        <v>100</v>
      </c>
      <c r="B30" s="50" t="s">
        <v>101</v>
      </c>
      <c r="C30" s="51" t="s">
        <v>102</v>
      </c>
    </row>
    <row r="31" customFormat="false" ht="15" hidden="false" customHeight="true" outlineLevel="0" collapsed="false">
      <c r="A31" s="49" t="s">
        <v>103</v>
      </c>
      <c r="B31" s="50" t="s">
        <v>104</v>
      </c>
      <c r="C31" s="51" t="s">
        <v>105</v>
      </c>
    </row>
    <row r="32" customFormat="false" ht="15" hidden="false" customHeight="true" outlineLevel="0" collapsed="false">
      <c r="A32" s="49" t="s">
        <v>106</v>
      </c>
      <c r="B32" s="54" t="s">
        <v>107</v>
      </c>
      <c r="C32" s="51" t="s">
        <v>108</v>
      </c>
    </row>
    <row r="33" customFormat="false" ht="15" hidden="false" customHeight="true" outlineLevel="0" collapsed="false">
      <c r="A33" s="49" t="s">
        <v>109</v>
      </c>
      <c r="B33" s="50" t="s">
        <v>110</v>
      </c>
      <c r="C33" s="53" t="s">
        <v>111</v>
      </c>
    </row>
    <row r="34" customFormat="false" ht="15" hidden="false" customHeight="true" outlineLevel="0" collapsed="false">
      <c r="A34" s="49" t="s">
        <v>112</v>
      </c>
      <c r="B34" s="50" t="s">
        <v>113</v>
      </c>
      <c r="C34" s="53" t="s">
        <v>114</v>
      </c>
    </row>
    <row r="36" customFormat="false" ht="15" hidden="false" customHeight="true" outlineLevel="0" collapsed="false">
      <c r="A36" s="47" t="s">
        <v>115</v>
      </c>
    </row>
    <row r="37" customFormat="false" ht="15" hidden="false" customHeight="true" outlineLevel="0" collapsed="false">
      <c r="A37" s="18" t="s">
        <v>116</v>
      </c>
      <c r="B37" s="55" t="s">
        <v>117</v>
      </c>
      <c r="C37" s="56" t="s">
        <v>118</v>
      </c>
    </row>
    <row r="38" customFormat="false" ht="15" hidden="false" customHeight="true" outlineLevel="0" collapsed="false">
      <c r="A38" s="31" t="s">
        <v>36</v>
      </c>
      <c r="B38" s="57" t="s">
        <v>119</v>
      </c>
      <c r="C38" s="56" t="s">
        <v>120</v>
      </c>
    </row>
    <row r="39" customFormat="false" ht="15" hidden="false" customHeight="true" outlineLevel="0" collapsed="false">
      <c r="A39" s="31" t="s">
        <v>121</v>
      </c>
      <c r="B39" s="57" t="s">
        <v>122</v>
      </c>
      <c r="C39" s="58" t="s">
        <v>123</v>
      </c>
    </row>
    <row r="40" customFormat="false" ht="15" hidden="false" customHeight="true" outlineLevel="0" collapsed="false">
      <c r="A40" s="31" t="s">
        <v>124</v>
      </c>
      <c r="B40" s="57" t="s">
        <v>125</v>
      </c>
      <c r="C40" s="56" t="s">
        <v>126</v>
      </c>
    </row>
    <row r="43" customFormat="false" ht="15" hidden="false" customHeight="true" outlineLevel="0" collapsed="false">
      <c r="A43" s="47" t="s">
        <v>127</v>
      </c>
    </row>
    <row r="44" customFormat="false" ht="15" hidden="false" customHeight="true" outlineLevel="0" collapsed="false">
      <c r="A44" s="59" t="s">
        <v>128</v>
      </c>
      <c r="B44" s="59"/>
      <c r="C44" s="59"/>
      <c r="D44" s="59"/>
      <c r="E44" s="59"/>
      <c r="F44" s="59"/>
      <c r="G44" s="59"/>
      <c r="H44" s="59"/>
    </row>
    <row r="45" customFormat="false" ht="15" hidden="false" customHeight="true" outlineLevel="0" collapsed="false">
      <c r="A45" s="59" t="s">
        <v>129</v>
      </c>
      <c r="B45" s="59"/>
      <c r="C45" s="59"/>
      <c r="D45" s="59"/>
      <c r="E45" s="59"/>
      <c r="F45" s="59"/>
      <c r="G45" s="59"/>
      <c r="H45" s="59"/>
    </row>
    <row r="46" customFormat="false" ht="15" hidden="false" customHeight="true" outlineLevel="0" collapsed="false">
      <c r="A46" s="59" t="s">
        <v>130</v>
      </c>
      <c r="B46" s="59"/>
      <c r="C46" s="59"/>
      <c r="D46" s="59"/>
      <c r="E46" s="59"/>
      <c r="F46" s="59"/>
      <c r="G46" s="59"/>
      <c r="H46" s="59"/>
    </row>
    <row r="47" customFormat="false" ht="15" hidden="false" customHeight="true" outlineLevel="0" collapsed="false">
      <c r="A47" s="59" t="s">
        <v>131</v>
      </c>
      <c r="B47" s="59"/>
      <c r="C47" s="59"/>
      <c r="D47" s="59"/>
      <c r="E47" s="59"/>
      <c r="F47" s="59"/>
      <c r="G47" s="59"/>
      <c r="H47" s="59"/>
    </row>
    <row r="48" customFormat="false" ht="15" hidden="false" customHeight="true" outlineLevel="0" collapsed="false">
      <c r="A48" s="59" t="s">
        <v>132</v>
      </c>
      <c r="B48" s="59"/>
      <c r="C48" s="59"/>
      <c r="D48" s="59"/>
      <c r="E48" s="59"/>
      <c r="F48" s="59"/>
      <c r="G48" s="59"/>
      <c r="H48" s="59"/>
    </row>
    <row r="49" customFormat="false" ht="15" hidden="false" customHeight="true" outlineLevel="0" collapsed="false">
      <c r="A49" s="59" t="s">
        <v>133</v>
      </c>
      <c r="B49" s="59"/>
      <c r="C49" s="59"/>
      <c r="D49" s="59"/>
      <c r="E49" s="59"/>
      <c r="F49" s="59"/>
      <c r="G49" s="59"/>
      <c r="H49" s="59"/>
    </row>
    <row r="51" customFormat="false" ht="16.5" hidden="false" customHeight="true" outlineLevel="0" collapsed="false">
      <c r="A51" s="25" t="s">
        <v>134</v>
      </c>
    </row>
    <row r="52" customFormat="false" ht="15" hidden="false" customHeight="true" outlineLevel="0" collapsed="false">
      <c r="A52" s="48" t="s">
        <v>135</v>
      </c>
      <c r="B52" s="48" t="s">
        <v>75</v>
      </c>
      <c r="C52" s="48" t="s">
        <v>76</v>
      </c>
    </row>
    <row r="53" customFormat="false" ht="15" hidden="false" customHeight="true" outlineLevel="0" collapsed="false">
      <c r="A53" s="60" t="s">
        <v>136</v>
      </c>
      <c r="B53" s="50" t="s">
        <v>137</v>
      </c>
      <c r="C53" s="53" t="s">
        <v>138</v>
      </c>
    </row>
    <row r="54" customFormat="false" ht="15" hidden="false" customHeight="true" outlineLevel="0" collapsed="false">
      <c r="A54" s="60" t="s">
        <v>139</v>
      </c>
      <c r="B54" s="50" t="s">
        <v>140</v>
      </c>
      <c r="C54" s="53" t="s">
        <v>141</v>
      </c>
    </row>
    <row r="55" customFormat="false" ht="15" hidden="false" customHeight="true" outlineLevel="0" collapsed="false">
      <c r="A55" s="60" t="s">
        <v>142</v>
      </c>
      <c r="B55" s="50" t="s">
        <v>143</v>
      </c>
      <c r="C55" s="51" t="s">
        <v>144</v>
      </c>
    </row>
    <row r="56" customFormat="false" ht="15" hidden="false" customHeight="true" outlineLevel="0" collapsed="false">
      <c r="A56" s="60" t="s">
        <v>145</v>
      </c>
      <c r="B56" s="50" t="s">
        <v>146</v>
      </c>
      <c r="C56" s="51" t="s">
        <v>147</v>
      </c>
    </row>
    <row r="57" customFormat="false" ht="15" hidden="false" customHeight="true" outlineLevel="0" collapsed="false">
      <c r="A57" s="49" t="s">
        <v>148</v>
      </c>
      <c r="B57" s="50" t="s">
        <v>84</v>
      </c>
      <c r="C57" s="51" t="s">
        <v>149</v>
      </c>
    </row>
    <row r="58" customFormat="false" ht="15" hidden="false" customHeight="true" outlineLevel="0" collapsed="false">
      <c r="A58" s="49" t="s">
        <v>150</v>
      </c>
      <c r="B58" s="50" t="s">
        <v>151</v>
      </c>
      <c r="C58" s="51" t="s">
        <v>152</v>
      </c>
    </row>
    <row r="59" customFormat="false" ht="15" hidden="false" customHeight="true" outlineLevel="0" collapsed="false">
      <c r="A59" s="49" t="s">
        <v>153</v>
      </c>
      <c r="B59" s="50" t="s">
        <v>87</v>
      </c>
      <c r="C59" s="51" t="s">
        <v>154</v>
      </c>
    </row>
    <row r="60" customFormat="false" ht="15" hidden="false" customHeight="true" outlineLevel="0" collapsed="false">
      <c r="A60" s="49" t="s">
        <v>155</v>
      </c>
      <c r="B60" s="50" t="s">
        <v>140</v>
      </c>
      <c r="C60" s="51" t="s">
        <v>156</v>
      </c>
    </row>
    <row r="61" customFormat="false" ht="15" hidden="false" customHeight="true" outlineLevel="0" collapsed="false">
      <c r="A61" s="49" t="s">
        <v>157</v>
      </c>
      <c r="B61" s="50" t="s">
        <v>140</v>
      </c>
      <c r="C61" s="51" t="s">
        <v>158</v>
      </c>
    </row>
    <row r="62" customFormat="false" ht="15" hidden="false" customHeight="true" outlineLevel="0" collapsed="false">
      <c r="A62" s="49" t="s">
        <v>159</v>
      </c>
      <c r="B62" s="50" t="s">
        <v>160</v>
      </c>
      <c r="C62" s="51" t="s">
        <v>161</v>
      </c>
    </row>
    <row r="63" customFormat="false" ht="15" hidden="false" customHeight="true" outlineLevel="0" collapsed="false">
      <c r="A63" s="61" t="s">
        <v>162</v>
      </c>
      <c r="B63" s="62" t="s">
        <v>163</v>
      </c>
      <c r="C63" s="63" t="s">
        <v>164</v>
      </c>
    </row>
    <row r="65" customFormat="false" ht="15" hidden="false" customHeight="true" outlineLevel="0" collapsed="false">
      <c r="A65" s="25" t="s">
        <v>165</v>
      </c>
    </row>
    <row r="66" customFormat="false" ht="15" hidden="false" customHeight="true" outlineLevel="0" collapsed="false">
      <c r="A66" s="49" t="s">
        <v>166</v>
      </c>
      <c r="B66" s="50" t="s">
        <v>167</v>
      </c>
      <c r="C66" s="53" t="s">
        <v>168</v>
      </c>
    </row>
    <row r="67" customFormat="false" ht="15" hidden="false" customHeight="true" outlineLevel="0" collapsed="false">
      <c r="A67" s="49" t="s">
        <v>169</v>
      </c>
      <c r="B67" s="50" t="s">
        <v>170</v>
      </c>
      <c r="C67" s="53" t="s">
        <v>171</v>
      </c>
    </row>
    <row r="68" customFormat="false" ht="15" hidden="false" customHeight="true" outlineLevel="0" collapsed="false">
      <c r="A68" s="49" t="s">
        <v>172</v>
      </c>
      <c r="B68" s="50" t="s">
        <v>173</v>
      </c>
      <c r="C68" s="53" t="s">
        <v>174</v>
      </c>
    </row>
    <row r="69" customFormat="false" ht="15" hidden="false" customHeight="true" outlineLevel="0" collapsed="false">
      <c r="A69" s="52" t="s">
        <v>175</v>
      </c>
      <c r="B69" s="50" t="s">
        <v>176</v>
      </c>
      <c r="C69" s="51" t="s">
        <v>177</v>
      </c>
    </row>
    <row r="70" customFormat="false" ht="15" hidden="false" customHeight="true" outlineLevel="0" collapsed="false">
      <c r="A70" s="49" t="s">
        <v>178</v>
      </c>
      <c r="B70" s="54" t="s">
        <v>179</v>
      </c>
      <c r="C70" s="51" t="s">
        <v>180</v>
      </c>
    </row>
    <row r="72" customFormat="false" ht="16.5" hidden="false" customHeight="true" outlineLevel="0" collapsed="false">
      <c r="A72" s="47" t="s">
        <v>181</v>
      </c>
    </row>
    <row r="73" customFormat="false" ht="15" hidden="false" customHeight="true" outlineLevel="0" collapsed="false">
      <c r="A73" s="64" t="s">
        <v>182</v>
      </c>
      <c r="B73" s="54" t="s">
        <v>183</v>
      </c>
      <c r="C73" s="53" t="s">
        <v>184</v>
      </c>
    </row>
    <row r="74" customFormat="false" ht="15" hidden="false" customHeight="true" outlineLevel="0" collapsed="false">
      <c r="A74" s="65" t="s">
        <v>185</v>
      </c>
      <c r="B74" s="50" t="s">
        <v>186</v>
      </c>
      <c r="C74" s="53" t="s">
        <v>187</v>
      </c>
    </row>
    <row r="75" customFormat="false" ht="15" hidden="false" customHeight="true" outlineLevel="0" collapsed="false">
      <c r="A75" s="64" t="s">
        <v>188</v>
      </c>
      <c r="B75" s="54" t="s">
        <v>189</v>
      </c>
      <c r="C75" s="51" t="s">
        <v>190</v>
      </c>
    </row>
    <row r="76" customFormat="false" ht="15" hidden="false" customHeight="true" outlineLevel="0" collapsed="false">
      <c r="A76" s="64" t="s">
        <v>191</v>
      </c>
      <c r="B76" s="54" t="s">
        <v>192</v>
      </c>
      <c r="C76" s="53" t="s">
        <v>193</v>
      </c>
    </row>
    <row r="77" customFormat="false" ht="15" hidden="false" customHeight="true" outlineLevel="0" collapsed="false">
      <c r="A77" s="64" t="s">
        <v>194</v>
      </c>
      <c r="B77" s="54" t="s">
        <v>195</v>
      </c>
      <c r="C77" s="51" t="s">
        <v>196</v>
      </c>
    </row>
    <row r="78" customFormat="false" ht="15" hidden="false" customHeight="true" outlineLevel="0" collapsed="false">
      <c r="A78" s="65" t="s">
        <v>197</v>
      </c>
      <c r="B78" s="54" t="s">
        <v>198</v>
      </c>
      <c r="C78" s="51" t="s">
        <v>199</v>
      </c>
    </row>
    <row r="80" customFormat="false" ht="16.5" hidden="false" customHeight="true" outlineLevel="0" collapsed="false">
      <c r="A80" s="47" t="s">
        <v>200</v>
      </c>
    </row>
    <row r="81" customFormat="false" ht="15" hidden="false" customHeight="true" outlineLevel="0" collapsed="false">
      <c r="A81" s="59" t="s">
        <v>201</v>
      </c>
      <c r="B81" s="59"/>
      <c r="C81" s="59"/>
      <c r="D81" s="59"/>
      <c r="E81" s="59"/>
      <c r="F81" s="59"/>
      <c r="G81" s="59"/>
      <c r="H81" s="59"/>
    </row>
    <row r="82" customFormat="false" ht="15" hidden="false" customHeight="true" outlineLevel="0" collapsed="false">
      <c r="A82" s="59" t="s">
        <v>202</v>
      </c>
      <c r="B82" s="59"/>
      <c r="C82" s="59"/>
      <c r="D82" s="59"/>
      <c r="E82" s="59"/>
      <c r="F82" s="59"/>
      <c r="G82" s="59"/>
      <c r="H82" s="59"/>
    </row>
    <row r="83" customFormat="false" ht="15" hidden="false" customHeight="true" outlineLevel="0" collapsed="false">
      <c r="A83" s="59" t="s">
        <v>203</v>
      </c>
      <c r="B83" s="59"/>
      <c r="C83" s="59"/>
      <c r="D83" s="59"/>
      <c r="E83" s="59"/>
      <c r="F83" s="59"/>
      <c r="G83" s="59"/>
      <c r="H83" s="59"/>
    </row>
    <row r="84" customFormat="false" ht="15" hidden="false" customHeight="true" outlineLevel="0" collapsed="false">
      <c r="A84" s="59" t="s">
        <v>204</v>
      </c>
      <c r="B84" s="59"/>
      <c r="C84" s="59"/>
      <c r="D84" s="59"/>
      <c r="E84" s="59"/>
      <c r="F84" s="59"/>
      <c r="G84" s="59"/>
      <c r="H84" s="59"/>
    </row>
    <row r="85" customFormat="false" ht="15" hidden="false" customHeight="true" outlineLevel="0" collapsed="false">
      <c r="A85" s="59" t="s">
        <v>205</v>
      </c>
      <c r="B85" s="59"/>
      <c r="C85" s="59"/>
      <c r="D85" s="59"/>
      <c r="E85" s="59"/>
      <c r="F85" s="59"/>
      <c r="G85" s="59"/>
      <c r="H85" s="59"/>
    </row>
    <row r="86" customFormat="false" ht="15" hidden="false" customHeight="true" outlineLevel="0" collapsed="false">
      <c r="A86" s="59" t="s">
        <v>206</v>
      </c>
      <c r="B86" s="59"/>
      <c r="C86" s="59"/>
      <c r="D86" s="59"/>
      <c r="E86" s="59"/>
      <c r="F86" s="59"/>
      <c r="G86" s="59"/>
      <c r="H86" s="59"/>
    </row>
    <row r="87" customFormat="false" ht="15" hidden="false" customHeight="true" outlineLevel="0" collapsed="false">
      <c r="A87" s="59" t="s">
        <v>207</v>
      </c>
      <c r="B87" s="59"/>
      <c r="C87" s="59"/>
      <c r="D87" s="59"/>
      <c r="E87" s="59"/>
      <c r="F87" s="59"/>
      <c r="G87" s="59"/>
      <c r="H87" s="59"/>
    </row>
    <row r="88" customFormat="false" ht="15" hidden="false" customHeight="true" outlineLevel="0" collapsed="false">
      <c r="A88" s="59" t="s">
        <v>133</v>
      </c>
      <c r="B88" s="59"/>
      <c r="C88" s="59"/>
      <c r="D88" s="59"/>
      <c r="E88" s="59"/>
      <c r="F88" s="59"/>
      <c r="G88" s="59"/>
      <c r="H88" s="59"/>
    </row>
  </sheetData>
  <mergeCells count="16">
    <mergeCell ref="A1:H1"/>
    <mergeCell ref="A2:H2"/>
    <mergeCell ref="A44:H44"/>
    <mergeCell ref="A45:H45"/>
    <mergeCell ref="A46:H46"/>
    <mergeCell ref="A47:H47"/>
    <mergeCell ref="A48:H48"/>
    <mergeCell ref="A49:H49"/>
    <mergeCell ref="A81:H81"/>
    <mergeCell ref="A82:H82"/>
    <mergeCell ref="A83:H83"/>
    <mergeCell ref="A84:H84"/>
    <mergeCell ref="A85:H85"/>
    <mergeCell ref="A86:H86"/>
    <mergeCell ref="A87:H87"/>
    <mergeCell ref="A88:H8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27B0"/>
    <pageSetUpPr fitToPage="false"/>
  </sheetPr>
  <dimension ref="A1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5" min="2" style="1" width="28"/>
  </cols>
  <sheetData>
    <row r="1" customFormat="false" ht="21" hidden="false" customHeight="true" outlineLevel="0" collapsed="false">
      <c r="A1" s="2" t="s">
        <v>208</v>
      </c>
      <c r="B1" s="2"/>
      <c r="C1" s="2"/>
      <c r="D1" s="2"/>
      <c r="E1" s="2"/>
    </row>
    <row r="3" customFormat="false" ht="15" hidden="false" customHeight="true" outlineLevel="0" collapsed="false">
      <c r="A3" s="4" t="s">
        <v>209</v>
      </c>
      <c r="B3" s="4" t="s">
        <v>210</v>
      </c>
      <c r="C3" s="4" t="s">
        <v>211</v>
      </c>
      <c r="D3" s="4" t="s">
        <v>212</v>
      </c>
      <c r="E3" s="4" t="s">
        <v>213</v>
      </c>
    </row>
    <row r="4" customFormat="false" ht="94.5" hidden="false" customHeight="true" outlineLevel="0" collapsed="false">
      <c r="A4" s="66" t="s">
        <v>36</v>
      </c>
      <c r="B4" s="67" t="s">
        <v>214</v>
      </c>
      <c r="C4" s="68" t="s">
        <v>215</v>
      </c>
      <c r="D4" s="68" t="s">
        <v>216</v>
      </c>
      <c r="E4" s="68" t="s">
        <v>217</v>
      </c>
    </row>
    <row r="5" customFormat="false" ht="94.5" hidden="false" customHeight="true" outlineLevel="0" collapsed="false">
      <c r="A5" s="66" t="s">
        <v>38</v>
      </c>
      <c r="B5" s="67" t="s">
        <v>218</v>
      </c>
      <c r="C5" s="68" t="s">
        <v>219</v>
      </c>
      <c r="D5" s="68" t="s">
        <v>220</v>
      </c>
      <c r="E5" s="68" t="s">
        <v>221</v>
      </c>
    </row>
    <row r="6" customFormat="false" ht="94.5" hidden="false" customHeight="true" outlineLevel="0" collapsed="false">
      <c r="A6" s="66" t="s">
        <v>40</v>
      </c>
      <c r="B6" s="67" t="s">
        <v>222</v>
      </c>
      <c r="C6" s="68" t="s">
        <v>223</v>
      </c>
      <c r="D6" s="68" t="s">
        <v>224</v>
      </c>
      <c r="E6" s="67" t="s">
        <v>225</v>
      </c>
    </row>
    <row r="7" customFormat="false" ht="94.5" hidden="false" customHeight="true" outlineLevel="0" collapsed="false">
      <c r="A7" s="66" t="s">
        <v>42</v>
      </c>
      <c r="B7" s="68" t="s">
        <v>226</v>
      </c>
      <c r="C7" s="67" t="s">
        <v>227</v>
      </c>
      <c r="D7" s="68" t="s">
        <v>228</v>
      </c>
      <c r="E7" s="68" t="s">
        <v>229</v>
      </c>
    </row>
    <row r="8" customFormat="false" ht="94.5" hidden="false" customHeight="true" outlineLevel="0" collapsed="false">
      <c r="A8" s="66" t="s">
        <v>44</v>
      </c>
      <c r="B8" s="67" t="s">
        <v>230</v>
      </c>
      <c r="C8" s="68" t="s">
        <v>231</v>
      </c>
      <c r="D8" s="68" t="s">
        <v>232</v>
      </c>
      <c r="E8" s="68" t="s">
        <v>233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C0000"/>
    <pageSetUpPr fitToPage="false"/>
  </sheetPr>
  <dimension ref="A1:K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11" min="2" style="0" width="13"/>
  </cols>
  <sheetData>
    <row r="1" customFormat="false" ht="21.6" hidden="false" customHeight="false" outlineLevel="0" collapsed="false">
      <c r="A1" s="69" t="s">
        <v>234</v>
      </c>
      <c r="B1" s="69"/>
      <c r="C1" s="69"/>
      <c r="D1" s="69"/>
      <c r="E1" s="69"/>
      <c r="F1" s="69"/>
      <c r="G1" s="69"/>
      <c r="H1" s="69"/>
      <c r="I1" s="69"/>
      <c r="J1" s="69"/>
      <c r="K1" s="69"/>
    </row>
    <row r="2" customFormat="false" ht="15" hidden="false" customHeight="false" outlineLevel="0" collapsed="false">
      <c r="A2" s="70" t="s">
        <v>235</v>
      </c>
      <c r="B2" s="70"/>
      <c r="C2" s="70"/>
      <c r="D2" s="70"/>
      <c r="E2" s="70"/>
      <c r="F2" s="70"/>
      <c r="G2" s="70"/>
      <c r="H2" s="70"/>
      <c r="I2" s="70"/>
      <c r="J2" s="70"/>
      <c r="K2" s="70"/>
    </row>
    <row r="4" customFormat="false" ht="15" hidden="false" customHeight="false" outlineLevel="0" collapsed="false">
      <c r="A4" s="71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236</v>
      </c>
      <c r="J4" s="5" t="s">
        <v>237</v>
      </c>
      <c r="K4" s="5" t="s">
        <v>238</v>
      </c>
    </row>
    <row r="5" customFormat="false" ht="17.15" hidden="false" customHeight="false" outlineLevel="0" collapsed="false">
      <c r="A5" s="72" t="s">
        <v>239</v>
      </c>
      <c r="B5" s="73"/>
      <c r="C5" s="73"/>
      <c r="D5" s="73"/>
      <c r="E5" s="73"/>
      <c r="F5" s="73"/>
      <c r="G5" s="73"/>
      <c r="H5" s="73"/>
      <c r="I5" s="73"/>
      <c r="J5" s="73"/>
      <c r="K5" s="73"/>
    </row>
    <row r="6" customFormat="false" ht="15" hidden="false" customHeight="false" outlineLevel="0" collapsed="false">
      <c r="A6" s="74" t="s">
        <v>240</v>
      </c>
    </row>
    <row r="7" customFormat="false" ht="15" hidden="false" customHeight="false" outlineLevel="0" collapsed="false">
      <c r="A7" s="8" t="s">
        <v>241</v>
      </c>
      <c r="B7" s="9" t="n">
        <v>100</v>
      </c>
      <c r="C7" s="9" t="n">
        <v>400</v>
      </c>
      <c r="D7" s="10" t="n">
        <v>650</v>
      </c>
      <c r="E7" s="10" t="n">
        <v>1500</v>
      </c>
      <c r="F7" s="10" t="n">
        <v>3500</v>
      </c>
      <c r="G7" s="10" t="n">
        <v>6000</v>
      </c>
      <c r="H7" s="10" t="n">
        <v>10000</v>
      </c>
      <c r="I7" s="10" t="n">
        <v>13000</v>
      </c>
      <c r="J7" s="10" t="n">
        <v>15000</v>
      </c>
      <c r="K7" s="10" t="n">
        <v>17000</v>
      </c>
    </row>
    <row r="8" customFormat="false" ht="15" hidden="false" customHeight="false" outlineLevel="0" collapsed="false">
      <c r="A8" s="8" t="s">
        <v>12</v>
      </c>
      <c r="B8" s="9" t="n">
        <v>0</v>
      </c>
      <c r="C8" s="9" t="n">
        <v>150</v>
      </c>
      <c r="D8" s="10" t="n">
        <v>350</v>
      </c>
      <c r="E8" s="10" t="n">
        <v>700</v>
      </c>
      <c r="F8" s="10" t="n">
        <v>1200</v>
      </c>
      <c r="G8" s="10" t="n">
        <v>1800</v>
      </c>
      <c r="H8" s="10" t="n">
        <v>2500</v>
      </c>
      <c r="I8" s="10" t="n">
        <v>3000</v>
      </c>
      <c r="J8" s="10" t="n">
        <v>3500</v>
      </c>
      <c r="K8" s="10" t="n">
        <v>4000</v>
      </c>
    </row>
    <row r="9" customFormat="false" ht="15" hidden="false" customHeight="false" outlineLevel="0" collapsed="false">
      <c r="A9" s="8" t="s">
        <v>13</v>
      </c>
      <c r="B9" s="9" t="n">
        <v>192</v>
      </c>
      <c r="C9" s="9" t="n">
        <v>80</v>
      </c>
      <c r="D9" s="10" t="n">
        <v>350</v>
      </c>
      <c r="E9" s="10" t="n">
        <v>800</v>
      </c>
      <c r="F9" s="10" t="n">
        <v>2000</v>
      </c>
      <c r="G9" s="10" t="n">
        <v>4000</v>
      </c>
      <c r="H9" s="10" t="n">
        <v>7000</v>
      </c>
      <c r="I9" s="10" t="n">
        <v>9000</v>
      </c>
      <c r="J9" s="10" t="n">
        <v>10000</v>
      </c>
      <c r="K9" s="10" t="n">
        <v>11000</v>
      </c>
    </row>
    <row r="10" customFormat="false" ht="15" hidden="false" customHeight="false" outlineLevel="0" collapsed="false">
      <c r="A10" s="8" t="s">
        <v>14</v>
      </c>
      <c r="B10" s="9" t="n">
        <v>0</v>
      </c>
      <c r="C10" s="9" t="n">
        <v>0</v>
      </c>
      <c r="D10" s="10" t="n">
        <v>100</v>
      </c>
      <c r="E10" s="10" t="n">
        <v>500</v>
      </c>
      <c r="F10" s="10" t="n">
        <v>1500</v>
      </c>
      <c r="G10" s="10" t="n">
        <v>3000</v>
      </c>
      <c r="H10" s="10" t="n">
        <v>5000</v>
      </c>
      <c r="I10" s="10" t="n">
        <v>6500</v>
      </c>
      <c r="J10" s="10" t="n">
        <v>8000</v>
      </c>
      <c r="K10" s="10" t="n">
        <v>9000</v>
      </c>
    </row>
    <row r="11" customFormat="false" ht="15" hidden="false" customHeight="false" outlineLevel="0" collapsed="false">
      <c r="A11" s="8" t="s">
        <v>242</v>
      </c>
      <c r="B11" s="9" t="n">
        <v>0</v>
      </c>
      <c r="C11" s="9" t="n">
        <v>0</v>
      </c>
      <c r="D11" s="10" t="n">
        <v>100</v>
      </c>
      <c r="E11" s="10" t="n">
        <v>1000</v>
      </c>
      <c r="F11" s="10" t="n">
        <v>6000</v>
      </c>
      <c r="G11" s="10" t="n">
        <v>15000</v>
      </c>
      <c r="H11" s="10" t="n">
        <v>35000</v>
      </c>
      <c r="I11" s="10" t="n">
        <v>50000</v>
      </c>
      <c r="J11" s="10" t="n">
        <v>60000</v>
      </c>
      <c r="K11" s="10" t="n">
        <v>65000</v>
      </c>
    </row>
    <row r="12" customFormat="false" ht="15" hidden="false" customHeight="false" outlineLevel="0" collapsed="false">
      <c r="A12" s="8" t="s">
        <v>243</v>
      </c>
      <c r="B12" s="9" t="n">
        <v>0</v>
      </c>
      <c r="C12" s="9" t="n">
        <v>0</v>
      </c>
      <c r="D12" s="10" t="n">
        <v>100</v>
      </c>
      <c r="E12" s="10" t="n">
        <v>1000</v>
      </c>
      <c r="F12" s="10" t="n">
        <v>6000</v>
      </c>
      <c r="G12" s="10" t="n">
        <v>15000</v>
      </c>
      <c r="H12" s="10" t="n">
        <v>40500</v>
      </c>
      <c r="I12" s="10" t="n">
        <v>55000</v>
      </c>
      <c r="J12" s="10" t="n">
        <v>65000</v>
      </c>
      <c r="K12" s="10" t="n">
        <v>70000</v>
      </c>
    </row>
    <row r="13" customFormat="false" ht="17.15" hidden="false" customHeight="false" outlineLevel="0" collapsed="false">
      <c r="A13" s="72" t="s">
        <v>244</v>
      </c>
      <c r="B13" s="75" t="n">
        <f aca="false">SUM(B7:B12)</f>
        <v>292</v>
      </c>
      <c r="C13" s="75" t="n">
        <f aca="false">SUM(C7:C12)</f>
        <v>630</v>
      </c>
      <c r="D13" s="75" t="n">
        <f aca="false">SUM(D7:D12)</f>
        <v>1650</v>
      </c>
      <c r="E13" s="75" t="n">
        <f aca="false">SUM(E7:E12)</f>
        <v>5500</v>
      </c>
      <c r="F13" s="75" t="n">
        <f aca="false">SUM(F7:F12)</f>
        <v>20200</v>
      </c>
      <c r="G13" s="75" t="n">
        <f aca="false">SUM(G7:G12)</f>
        <v>44800</v>
      </c>
      <c r="H13" s="75" t="n">
        <f aca="false">SUM(H7:H12)</f>
        <v>100000</v>
      </c>
      <c r="I13" s="75" t="n">
        <f aca="false">SUM(I7:I12)</f>
        <v>136500</v>
      </c>
      <c r="J13" s="75" t="n">
        <f aca="false">SUM(J7:J12)</f>
        <v>161500</v>
      </c>
      <c r="K13" s="75" t="n">
        <f aca="false">SUM(K7:K12)</f>
        <v>176000</v>
      </c>
    </row>
    <row r="14" customFormat="false" ht="15" hidden="false" customHeight="false" outlineLevel="0" collapsed="false">
      <c r="A14" s="76" t="s">
        <v>245</v>
      </c>
      <c r="B14" s="77" t="n">
        <f aca="false">IF(B13=0,"-",(B11+B12)/B13)</f>
        <v>0</v>
      </c>
      <c r="C14" s="77" t="n">
        <f aca="false">IF(C13=0,"-",(C11+C12)/C13)</f>
        <v>0</v>
      </c>
      <c r="D14" s="77" t="n">
        <f aca="false">IF(D13=0,"-",(D11+D12)/D13)</f>
        <v>0.121212121212121</v>
      </c>
      <c r="E14" s="77" t="n">
        <f aca="false">IF(E13=0,"-",(E11+E12)/E13)</f>
        <v>0.363636363636364</v>
      </c>
      <c r="F14" s="77" t="n">
        <f aca="false">IF(F13=0,"-",(F11+F12)/F13)</f>
        <v>0.594059405940594</v>
      </c>
      <c r="G14" s="77" t="n">
        <f aca="false">IF(G13=0,"-",(G11+G12)/G13)</f>
        <v>0.669642857142857</v>
      </c>
      <c r="H14" s="77" t="n">
        <f aca="false">IF(H13=0,"-",(H11+H12)/H13)</f>
        <v>0.755</v>
      </c>
      <c r="I14" s="77" t="n">
        <f aca="false">IF(I13=0,"-",(I11+I12)/I13)</f>
        <v>0.769230769230769</v>
      </c>
      <c r="J14" s="77" t="n">
        <f aca="false">IF(J13=0,"-",(J11+J12)/J13)</f>
        <v>0.773993808049536</v>
      </c>
      <c r="K14" s="77" t="n">
        <f aca="false">IF(K13=0,"-",(K11+K12)/K13)</f>
        <v>0.767045454545455</v>
      </c>
    </row>
    <row r="16" customFormat="false" ht="17.15" hidden="false" customHeight="false" outlineLevel="0" collapsed="false">
      <c r="A16" s="78" t="s">
        <v>246</v>
      </c>
      <c r="B16" s="79"/>
      <c r="C16" s="79"/>
      <c r="D16" s="79"/>
      <c r="E16" s="79"/>
      <c r="F16" s="79"/>
      <c r="G16" s="79"/>
      <c r="H16" s="79"/>
      <c r="I16" s="79"/>
      <c r="J16" s="79"/>
      <c r="K16" s="79"/>
    </row>
    <row r="17" customFormat="false" ht="15" hidden="false" customHeight="false" outlineLevel="0" collapsed="false">
      <c r="A17" s="74" t="s">
        <v>247</v>
      </c>
    </row>
    <row r="18" customFormat="false" ht="15" hidden="false" customHeight="false" outlineLevel="0" collapsed="false">
      <c r="A18" s="8" t="s">
        <v>241</v>
      </c>
      <c r="B18" s="9" t="n">
        <v>100</v>
      </c>
      <c r="C18" s="9" t="n">
        <v>400</v>
      </c>
      <c r="D18" s="10" t="n">
        <v>650</v>
      </c>
      <c r="E18" s="10" t="n">
        <v>1100</v>
      </c>
      <c r="F18" s="10" t="n">
        <v>2000</v>
      </c>
      <c r="G18" s="10" t="n">
        <v>3500</v>
      </c>
      <c r="H18" s="10" t="n">
        <v>5500</v>
      </c>
      <c r="I18" s="10" t="n">
        <v>7500</v>
      </c>
      <c r="J18" s="10" t="n">
        <v>10000</v>
      </c>
      <c r="K18" s="10" t="n">
        <v>13000</v>
      </c>
    </row>
    <row r="19" customFormat="false" ht="15" hidden="false" customHeight="false" outlineLevel="0" collapsed="false">
      <c r="A19" s="8" t="s">
        <v>12</v>
      </c>
      <c r="B19" s="9" t="n">
        <v>0</v>
      </c>
      <c r="C19" s="9" t="n">
        <v>150</v>
      </c>
      <c r="D19" s="10" t="n">
        <v>350</v>
      </c>
      <c r="E19" s="10" t="n">
        <v>700</v>
      </c>
      <c r="F19" s="10" t="n">
        <v>1100</v>
      </c>
      <c r="G19" s="10" t="n">
        <v>1500</v>
      </c>
      <c r="H19" s="10" t="n">
        <v>2000</v>
      </c>
      <c r="I19" s="10" t="n">
        <v>2500</v>
      </c>
      <c r="J19" s="10" t="n">
        <v>3000</v>
      </c>
      <c r="K19" s="10" t="n">
        <v>3500</v>
      </c>
    </row>
    <row r="20" customFormat="false" ht="15" hidden="false" customHeight="false" outlineLevel="0" collapsed="false">
      <c r="A20" s="8" t="s">
        <v>13</v>
      </c>
      <c r="B20" s="9" t="n">
        <v>192</v>
      </c>
      <c r="C20" s="9" t="n">
        <v>80</v>
      </c>
      <c r="D20" s="10" t="n">
        <v>350</v>
      </c>
      <c r="E20" s="10" t="n">
        <v>800</v>
      </c>
      <c r="F20" s="10" t="n">
        <v>1500</v>
      </c>
      <c r="G20" s="10" t="n">
        <v>3000</v>
      </c>
      <c r="H20" s="10" t="n">
        <v>5000</v>
      </c>
      <c r="I20" s="10" t="n">
        <v>7000</v>
      </c>
      <c r="J20" s="10" t="n">
        <v>9000</v>
      </c>
      <c r="K20" s="10" t="n">
        <v>11000</v>
      </c>
    </row>
    <row r="21" customFormat="false" ht="15" hidden="false" customHeight="false" outlineLevel="0" collapsed="false">
      <c r="A21" s="8" t="s">
        <v>14</v>
      </c>
      <c r="B21" s="9" t="n">
        <v>0</v>
      </c>
      <c r="C21" s="9" t="n">
        <v>0</v>
      </c>
      <c r="D21" s="10" t="n">
        <v>100</v>
      </c>
      <c r="E21" s="10" t="n">
        <v>500</v>
      </c>
      <c r="F21" s="10" t="n">
        <v>1000</v>
      </c>
      <c r="G21" s="10" t="n">
        <v>2000</v>
      </c>
      <c r="H21" s="10" t="n">
        <v>3500</v>
      </c>
      <c r="I21" s="10" t="n">
        <v>5000</v>
      </c>
      <c r="J21" s="10" t="n">
        <v>7000</v>
      </c>
      <c r="K21" s="10" t="n">
        <v>9000</v>
      </c>
    </row>
    <row r="22" customFormat="false" ht="15" hidden="false" customHeight="false" outlineLevel="0" collapsed="false">
      <c r="A22" s="8" t="s">
        <v>242</v>
      </c>
      <c r="B22" s="9" t="n">
        <v>0</v>
      </c>
      <c r="C22" s="9" t="n">
        <v>0</v>
      </c>
      <c r="D22" s="10" t="n">
        <v>100</v>
      </c>
      <c r="E22" s="10" t="n">
        <v>700</v>
      </c>
      <c r="F22" s="10" t="n">
        <v>2500</v>
      </c>
      <c r="G22" s="10" t="n">
        <v>6000</v>
      </c>
      <c r="H22" s="10" t="n">
        <v>13000</v>
      </c>
      <c r="I22" s="10" t="n">
        <v>22000</v>
      </c>
      <c r="J22" s="10" t="n">
        <v>35000</v>
      </c>
      <c r="K22" s="10" t="n">
        <v>50000</v>
      </c>
    </row>
    <row r="23" customFormat="false" ht="15" hidden="false" customHeight="false" outlineLevel="0" collapsed="false">
      <c r="A23" s="8" t="s">
        <v>243</v>
      </c>
      <c r="B23" s="9" t="n">
        <v>0</v>
      </c>
      <c r="C23" s="9" t="n">
        <v>0</v>
      </c>
      <c r="D23" s="10" t="n">
        <v>100</v>
      </c>
      <c r="E23" s="10" t="n">
        <v>700</v>
      </c>
      <c r="F23" s="10" t="n">
        <v>2500</v>
      </c>
      <c r="G23" s="10" t="n">
        <v>6000</v>
      </c>
      <c r="H23" s="10" t="n">
        <v>40500</v>
      </c>
      <c r="I23" s="10" t="n">
        <v>24000</v>
      </c>
      <c r="J23" s="10" t="n">
        <v>38000</v>
      </c>
      <c r="K23" s="10" t="n">
        <v>52000</v>
      </c>
    </row>
    <row r="24" customFormat="false" ht="17.15" hidden="false" customHeight="false" outlineLevel="0" collapsed="false">
      <c r="A24" s="78" t="s">
        <v>248</v>
      </c>
      <c r="B24" s="80" t="n">
        <f aca="false">SUM(B18:B23)</f>
        <v>292</v>
      </c>
      <c r="C24" s="80" t="n">
        <f aca="false">SUM(C18:C23)</f>
        <v>630</v>
      </c>
      <c r="D24" s="80" t="n">
        <f aca="false">SUM(D18:D23)</f>
        <v>1650</v>
      </c>
      <c r="E24" s="80" t="n">
        <f aca="false">SUM(E18:E23)</f>
        <v>4500</v>
      </c>
      <c r="F24" s="80" t="n">
        <f aca="false">SUM(F18:F23)</f>
        <v>10600</v>
      </c>
      <c r="G24" s="80" t="n">
        <f aca="false">SUM(G18:G23)</f>
        <v>22000</v>
      </c>
      <c r="H24" s="80" t="n">
        <f aca="false">SUM(H18:H23)</f>
        <v>69500</v>
      </c>
      <c r="I24" s="80" t="n">
        <f aca="false">SUM(I18:I23)</f>
        <v>68000</v>
      </c>
      <c r="J24" s="80" t="n">
        <f aca="false">SUM(J18:J23)</f>
        <v>102000</v>
      </c>
      <c r="K24" s="80" t="n">
        <f aca="false">SUM(K18:K23)</f>
        <v>138500</v>
      </c>
    </row>
    <row r="25" customFormat="false" ht="15" hidden="false" customHeight="false" outlineLevel="0" collapsed="false">
      <c r="A25" s="76" t="s">
        <v>245</v>
      </c>
      <c r="B25" s="77" t="n">
        <f aca="false">IF(B24=0,"-",(B22+B23)/B24)</f>
        <v>0</v>
      </c>
      <c r="C25" s="77" t="n">
        <f aca="false">IF(C24=0,"-",(C22+C23)/C24)</f>
        <v>0</v>
      </c>
      <c r="D25" s="77" t="n">
        <f aca="false">IF(D24=0,"-",(D22+D23)/D24)</f>
        <v>0.121212121212121</v>
      </c>
      <c r="E25" s="77" t="n">
        <f aca="false">IF(E24=0,"-",(E22+E23)/E24)</f>
        <v>0.311111111111111</v>
      </c>
      <c r="F25" s="77" t="n">
        <f aca="false">IF(F24=0,"-",(F22+F23)/F24)</f>
        <v>0.471698113207547</v>
      </c>
      <c r="G25" s="77" t="n">
        <f aca="false">IF(G24=0,"-",(G22+G23)/G24)</f>
        <v>0.545454545454545</v>
      </c>
      <c r="H25" s="77" t="n">
        <f aca="false">IF(H24=0,"-",(H22+H23)/H24)</f>
        <v>0.769784172661871</v>
      </c>
      <c r="I25" s="77" t="n">
        <f aca="false">IF(I24=0,"-",(I22+I23)/I24)</f>
        <v>0.676470588235294</v>
      </c>
      <c r="J25" s="77" t="n">
        <f aca="false">IF(J24=0,"-",(J22+J23)/J24)</f>
        <v>0.715686274509804</v>
      </c>
      <c r="K25" s="77" t="n">
        <f aca="false">IF(K24=0,"-",(K22+K23)/K24)</f>
        <v>0.736462093862816</v>
      </c>
    </row>
    <row r="27" customFormat="false" ht="15" hidden="false" customHeight="false" outlineLevel="0" collapsed="false">
      <c r="A27" s="81" t="s">
        <v>249</v>
      </c>
    </row>
    <row r="28" customFormat="false" ht="15" hidden="false" customHeight="false" outlineLevel="0" collapsed="false">
      <c r="A28" s="82" t="s">
        <v>250</v>
      </c>
      <c r="B28" s="83" t="s">
        <v>251</v>
      </c>
      <c r="C28" s="83"/>
      <c r="D28" s="83"/>
      <c r="E28" s="83"/>
      <c r="F28" s="83"/>
      <c r="G28" s="84" t="s">
        <v>252</v>
      </c>
      <c r="H28" s="84"/>
      <c r="I28" s="84"/>
      <c r="J28" s="84"/>
      <c r="K28" s="84"/>
    </row>
    <row r="29" customFormat="false" ht="15" hidden="false" customHeight="false" outlineLevel="0" collapsed="false">
      <c r="A29" s="82" t="s">
        <v>253</v>
      </c>
      <c r="B29" s="85" t="s">
        <v>254</v>
      </c>
      <c r="C29" s="85"/>
      <c r="D29" s="85"/>
      <c r="E29" s="85"/>
      <c r="F29" s="85"/>
      <c r="G29" s="84" t="s">
        <v>255</v>
      </c>
      <c r="H29" s="84"/>
      <c r="I29" s="84"/>
      <c r="J29" s="84"/>
      <c r="K29" s="84"/>
    </row>
    <row r="30" customFormat="false" ht="15" hidden="false" customHeight="false" outlineLevel="0" collapsed="false">
      <c r="A30" s="82" t="s">
        <v>256</v>
      </c>
      <c r="B30" s="85" t="s">
        <v>257</v>
      </c>
      <c r="C30" s="85"/>
      <c r="D30" s="85"/>
      <c r="E30" s="85"/>
      <c r="F30" s="85"/>
      <c r="G30" s="84" t="s">
        <v>258</v>
      </c>
      <c r="H30" s="84"/>
      <c r="I30" s="84"/>
      <c r="J30" s="84"/>
      <c r="K30" s="84"/>
    </row>
    <row r="31" customFormat="false" ht="15" hidden="false" customHeight="false" outlineLevel="0" collapsed="false">
      <c r="A31" s="86" t="s">
        <v>259</v>
      </c>
      <c r="B31" s="85" t="s">
        <v>260</v>
      </c>
      <c r="C31" s="85"/>
      <c r="D31" s="85"/>
      <c r="E31" s="85"/>
      <c r="F31" s="85"/>
      <c r="G31" s="87" t="s">
        <v>261</v>
      </c>
      <c r="H31" s="87"/>
      <c r="I31" s="87"/>
      <c r="J31" s="87"/>
      <c r="K31" s="87"/>
    </row>
    <row r="33" customFormat="false" ht="15" hidden="false" customHeight="false" outlineLevel="0" collapsed="false">
      <c r="A33" s="81" t="s">
        <v>262</v>
      </c>
    </row>
    <row r="34" customFormat="false" ht="15" hidden="false" customHeight="false" outlineLevel="0" collapsed="false">
      <c r="A34" s="82" t="s">
        <v>53</v>
      </c>
      <c r="B34" s="88" t="s">
        <v>263</v>
      </c>
      <c r="C34" s="88"/>
      <c r="D34" s="88"/>
      <c r="E34" s="84" t="s">
        <v>264</v>
      </c>
      <c r="F34" s="84"/>
      <c r="G34" s="84"/>
      <c r="H34" s="84"/>
      <c r="I34" s="84"/>
      <c r="J34" s="84"/>
      <c r="K34" s="84"/>
    </row>
    <row r="35" customFormat="false" ht="15" hidden="false" customHeight="false" outlineLevel="0" collapsed="false">
      <c r="A35" s="82" t="s">
        <v>56</v>
      </c>
      <c r="B35" s="88" t="s">
        <v>265</v>
      </c>
      <c r="C35" s="88"/>
      <c r="D35" s="88"/>
      <c r="E35" s="84" t="s">
        <v>266</v>
      </c>
      <c r="F35" s="84"/>
      <c r="G35" s="84"/>
      <c r="H35" s="84"/>
      <c r="I35" s="84"/>
      <c r="J35" s="84"/>
      <c r="K35" s="84"/>
    </row>
    <row r="36" customFormat="false" ht="15" hidden="false" customHeight="false" outlineLevel="0" collapsed="false">
      <c r="A36" s="82" t="s">
        <v>40</v>
      </c>
      <c r="B36" s="88" t="s">
        <v>267</v>
      </c>
      <c r="C36" s="88"/>
      <c r="D36" s="88"/>
      <c r="E36" s="84" t="s">
        <v>268</v>
      </c>
      <c r="F36" s="84"/>
      <c r="G36" s="84"/>
      <c r="H36" s="84"/>
      <c r="I36" s="84"/>
      <c r="J36" s="84"/>
      <c r="K36" s="84"/>
    </row>
    <row r="37" customFormat="false" ht="15" hidden="false" customHeight="false" outlineLevel="0" collapsed="false">
      <c r="A37" s="82" t="s">
        <v>269</v>
      </c>
      <c r="B37" s="88" t="s">
        <v>270</v>
      </c>
      <c r="C37" s="88"/>
      <c r="D37" s="88"/>
      <c r="E37" s="84" t="s">
        <v>271</v>
      </c>
      <c r="F37" s="84"/>
      <c r="G37" s="84"/>
      <c r="H37" s="84"/>
      <c r="I37" s="84"/>
      <c r="J37" s="84"/>
      <c r="K37" s="84"/>
    </row>
    <row r="38" customFormat="false" ht="15" hidden="false" customHeight="false" outlineLevel="0" collapsed="false">
      <c r="A38" s="82" t="s">
        <v>272</v>
      </c>
      <c r="B38" s="88" t="s">
        <v>273</v>
      </c>
      <c r="C38" s="88"/>
      <c r="D38" s="88"/>
      <c r="E38" s="87" t="s">
        <v>274</v>
      </c>
      <c r="F38" s="87"/>
      <c r="G38" s="87"/>
      <c r="H38" s="87"/>
      <c r="I38" s="87"/>
      <c r="J38" s="87"/>
      <c r="K38" s="87"/>
    </row>
    <row r="40" customFormat="false" ht="15" hidden="false" customHeight="false" outlineLevel="0" collapsed="false">
      <c r="A40" s="89" t="s">
        <v>275</v>
      </c>
      <c r="H40" s="90" t="n">
        <v>40500</v>
      </c>
    </row>
    <row r="41" customFormat="false" ht="15" hidden="false" customHeight="false" outlineLevel="0" collapsed="false">
      <c r="A41" s="91" t="s">
        <v>276</v>
      </c>
      <c r="H41" s="90" t="n">
        <v>40500</v>
      </c>
    </row>
  </sheetData>
  <mergeCells count="20">
    <mergeCell ref="A1:K1"/>
    <mergeCell ref="A2:K2"/>
    <mergeCell ref="B28:F28"/>
    <mergeCell ref="G28:K28"/>
    <mergeCell ref="B29:F29"/>
    <mergeCell ref="G29:K29"/>
    <mergeCell ref="B30:F30"/>
    <mergeCell ref="G30:K30"/>
    <mergeCell ref="B31:F31"/>
    <mergeCell ref="G31:K31"/>
    <mergeCell ref="B34:D34"/>
    <mergeCell ref="E34:K34"/>
    <mergeCell ref="B35:D35"/>
    <mergeCell ref="E35:K35"/>
    <mergeCell ref="B36:D36"/>
    <mergeCell ref="E36:K36"/>
    <mergeCell ref="B37:D37"/>
    <mergeCell ref="E37:K37"/>
    <mergeCell ref="B38:D38"/>
    <mergeCell ref="E38:K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000"/>
    <pageSetUpPr fitToPage="false"/>
  </sheetPr>
  <dimension ref="A1:I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14"/>
    <col collapsed="false" customWidth="true" hidden="false" outlineLevel="0" max="6" min="5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40"/>
  </cols>
  <sheetData>
    <row r="1" customFormat="false" ht="21.6" hidden="false" customHeight="false" outlineLevel="0" collapsed="false">
      <c r="A1" s="92" t="s">
        <v>277</v>
      </c>
      <c r="B1" s="92"/>
      <c r="C1" s="92"/>
      <c r="D1" s="92"/>
      <c r="E1" s="92"/>
      <c r="F1" s="92"/>
      <c r="G1" s="92"/>
      <c r="H1" s="92"/>
      <c r="I1" s="92"/>
    </row>
    <row r="2" customFormat="false" ht="15" hidden="false" customHeight="false" outlineLevel="0" collapsed="false">
      <c r="A2" s="70" t="s">
        <v>278</v>
      </c>
      <c r="B2" s="70"/>
      <c r="C2" s="70"/>
      <c r="D2" s="70"/>
      <c r="E2" s="70"/>
      <c r="F2" s="70"/>
      <c r="G2" s="70"/>
      <c r="H2" s="70"/>
      <c r="I2" s="70"/>
    </row>
    <row r="4" customFormat="false" ht="39.75" hidden="false" customHeight="true" outlineLevel="0" collapsed="false">
      <c r="A4" s="93" t="s">
        <v>279</v>
      </c>
      <c r="B4" s="93" t="s">
        <v>280</v>
      </c>
      <c r="C4" s="94" t="s">
        <v>281</v>
      </c>
      <c r="D4" s="94" t="s">
        <v>282</v>
      </c>
      <c r="E4" s="94" t="s">
        <v>283</v>
      </c>
      <c r="F4" s="94" t="s">
        <v>284</v>
      </c>
      <c r="G4" s="94" t="s">
        <v>285</v>
      </c>
      <c r="H4" s="93" t="s">
        <v>286</v>
      </c>
      <c r="I4" s="93" t="s">
        <v>287</v>
      </c>
    </row>
    <row r="5" customFormat="false" ht="37.5" hidden="false" customHeight="true" outlineLevel="0" collapsed="false">
      <c r="A5" s="95" t="s">
        <v>288</v>
      </c>
      <c r="B5" s="96" t="n">
        <v>95</v>
      </c>
      <c r="C5" s="96" t="n">
        <v>74</v>
      </c>
      <c r="D5" s="97" t="n">
        <v>7000</v>
      </c>
      <c r="E5" s="96" t="n">
        <v>12</v>
      </c>
      <c r="F5" s="98" t="n">
        <v>2</v>
      </c>
      <c r="G5" s="99" t="s">
        <v>289</v>
      </c>
      <c r="H5" s="99" t="s">
        <v>290</v>
      </c>
      <c r="I5" s="100" t="s">
        <v>291</v>
      </c>
    </row>
    <row r="6" customFormat="false" ht="37.5" hidden="false" customHeight="true" outlineLevel="0" collapsed="false">
      <c r="A6" s="95" t="s">
        <v>292</v>
      </c>
      <c r="B6" s="96" t="n">
        <v>120</v>
      </c>
      <c r="C6" s="96" t="n">
        <v>17</v>
      </c>
      <c r="D6" s="97" t="n">
        <v>2000</v>
      </c>
      <c r="E6" s="96" t="n">
        <v>3</v>
      </c>
      <c r="F6" s="98" t="n">
        <v>2</v>
      </c>
      <c r="G6" s="99" t="s">
        <v>293</v>
      </c>
      <c r="H6" s="99" t="s">
        <v>294</v>
      </c>
      <c r="I6" s="100" t="s">
        <v>295</v>
      </c>
    </row>
    <row r="7" customFormat="false" ht="37.5" hidden="false" customHeight="true" outlineLevel="0" collapsed="false">
      <c r="A7" s="95" t="s">
        <v>296</v>
      </c>
      <c r="B7" s="96" t="n">
        <v>35</v>
      </c>
      <c r="C7" s="96" t="n">
        <v>143</v>
      </c>
      <c r="D7" s="97" t="n">
        <v>5000</v>
      </c>
      <c r="E7" s="96" t="n">
        <v>25</v>
      </c>
      <c r="F7" s="98" t="n">
        <v>3</v>
      </c>
      <c r="G7" s="99" t="s">
        <v>297</v>
      </c>
      <c r="H7" s="99" t="s">
        <v>298</v>
      </c>
      <c r="I7" s="100" t="s">
        <v>299</v>
      </c>
    </row>
    <row r="8" customFormat="false" ht="37.5" hidden="false" customHeight="true" outlineLevel="0" collapsed="false">
      <c r="A8" s="95" t="s">
        <v>300</v>
      </c>
      <c r="B8" s="96" t="n">
        <v>50</v>
      </c>
      <c r="C8" s="96" t="n">
        <v>110</v>
      </c>
      <c r="D8" s="97" t="n">
        <v>5500</v>
      </c>
      <c r="E8" s="96" t="n">
        <v>20</v>
      </c>
      <c r="F8" s="98" t="n">
        <v>3</v>
      </c>
      <c r="G8" s="99" t="s">
        <v>301</v>
      </c>
      <c r="H8" s="99" t="s">
        <v>302</v>
      </c>
      <c r="I8" s="100" t="s">
        <v>303</v>
      </c>
    </row>
    <row r="9" customFormat="false" ht="37.5" hidden="false" customHeight="true" outlineLevel="0" collapsed="false">
      <c r="A9" s="95" t="s">
        <v>304</v>
      </c>
      <c r="B9" s="96" t="n">
        <v>250</v>
      </c>
      <c r="C9" s="96" t="n">
        <v>11</v>
      </c>
      <c r="D9" s="97" t="n">
        <v>2800</v>
      </c>
      <c r="E9" s="96" t="n">
        <v>2</v>
      </c>
      <c r="F9" s="98" t="n">
        <v>1</v>
      </c>
      <c r="G9" s="99" t="s">
        <v>305</v>
      </c>
      <c r="H9" s="99" t="s">
        <v>306</v>
      </c>
      <c r="I9" s="101" t="s">
        <v>307</v>
      </c>
    </row>
    <row r="10" customFormat="false" ht="37.5" hidden="false" customHeight="true" outlineLevel="0" collapsed="false">
      <c r="A10" s="95" t="s">
        <v>308</v>
      </c>
      <c r="B10" s="96" t="n">
        <v>40</v>
      </c>
      <c r="C10" s="96" t="n">
        <v>35</v>
      </c>
      <c r="D10" s="97" t="n">
        <v>1400</v>
      </c>
      <c r="E10" s="96" t="n">
        <v>8</v>
      </c>
      <c r="F10" s="98" t="n">
        <v>3</v>
      </c>
      <c r="G10" s="99" t="s">
        <v>309</v>
      </c>
      <c r="H10" s="99" t="s">
        <v>310</v>
      </c>
      <c r="I10" s="100" t="s">
        <v>311</v>
      </c>
    </row>
    <row r="11" customFormat="false" ht="15" hidden="false" customHeight="false" outlineLevel="0" collapsed="false">
      <c r="A11" s="102" t="s">
        <v>162</v>
      </c>
      <c r="B11" s="103" t="n">
        <v>590</v>
      </c>
      <c r="C11" s="103" t="n">
        <v>40</v>
      </c>
      <c r="D11" s="104" t="n">
        <v>23700</v>
      </c>
      <c r="E11" s="105"/>
      <c r="F11" s="105"/>
      <c r="G11" s="105"/>
      <c r="H11" s="105"/>
      <c r="I11" s="106" t="s">
        <v>312</v>
      </c>
    </row>
    <row r="13" customFormat="false" ht="17.15" hidden="false" customHeight="false" outlineLevel="0" collapsed="false">
      <c r="A13" s="81" t="s">
        <v>313</v>
      </c>
    </row>
    <row r="14" customFormat="false" ht="34.5" hidden="false" customHeight="true" outlineLevel="0" collapsed="false">
      <c r="A14" s="107" t="s">
        <v>314</v>
      </c>
      <c r="B14" s="107" t="s">
        <v>315</v>
      </c>
      <c r="C14" s="107" t="s">
        <v>316</v>
      </c>
      <c r="D14" s="108" t="s">
        <v>317</v>
      </c>
      <c r="E14" s="107" t="s">
        <v>318</v>
      </c>
      <c r="F14" s="107" t="s">
        <v>319</v>
      </c>
      <c r="G14" s="107" t="s">
        <v>320</v>
      </c>
    </row>
    <row r="15" customFormat="false" ht="15" hidden="false" customHeight="false" outlineLevel="0" collapsed="false">
      <c r="A15" s="86" t="s">
        <v>321</v>
      </c>
      <c r="B15" s="50" t="s">
        <v>322</v>
      </c>
      <c r="C15" s="50" t="s">
        <v>323</v>
      </c>
      <c r="D15" s="50" t="s">
        <v>324</v>
      </c>
      <c r="E15" s="50" t="s">
        <v>324</v>
      </c>
      <c r="F15" s="50" t="s">
        <v>325</v>
      </c>
      <c r="G15" s="109" t="s">
        <v>326</v>
      </c>
    </row>
    <row r="16" customFormat="false" ht="15" hidden="false" customHeight="false" outlineLevel="0" collapsed="false">
      <c r="A16" s="86" t="s">
        <v>327</v>
      </c>
      <c r="B16" s="50" t="s">
        <v>324</v>
      </c>
      <c r="C16" s="50" t="s">
        <v>328</v>
      </c>
      <c r="D16" s="50" t="s">
        <v>329</v>
      </c>
      <c r="E16" s="50" t="s">
        <v>329</v>
      </c>
      <c r="F16" s="50" t="s">
        <v>330</v>
      </c>
      <c r="G16" s="109" t="s">
        <v>331</v>
      </c>
    </row>
    <row r="17" customFormat="false" ht="15" hidden="false" customHeight="false" outlineLevel="0" collapsed="false">
      <c r="A17" s="86" t="s">
        <v>332</v>
      </c>
      <c r="B17" s="50" t="s">
        <v>333</v>
      </c>
      <c r="C17" s="50" t="s">
        <v>334</v>
      </c>
      <c r="D17" s="50" t="s">
        <v>140</v>
      </c>
      <c r="E17" s="50" t="s">
        <v>140</v>
      </c>
      <c r="F17" s="50" t="s">
        <v>335</v>
      </c>
      <c r="G17" s="109" t="s">
        <v>336</v>
      </c>
    </row>
    <row r="18" customFormat="false" ht="15" hidden="false" customHeight="false" outlineLevel="0" collapsed="false">
      <c r="A18" s="86" t="s">
        <v>337</v>
      </c>
      <c r="B18" s="50" t="s">
        <v>322</v>
      </c>
      <c r="C18" s="50" t="s">
        <v>323</v>
      </c>
      <c r="D18" s="50" t="s">
        <v>324</v>
      </c>
      <c r="E18" s="50" t="s">
        <v>324</v>
      </c>
      <c r="F18" s="50" t="s">
        <v>338</v>
      </c>
      <c r="G18" s="109" t="s">
        <v>339</v>
      </c>
    </row>
    <row r="19" customFormat="false" ht="15" hidden="false" customHeight="false" outlineLevel="0" collapsed="false">
      <c r="A19" s="82" t="s">
        <v>340</v>
      </c>
      <c r="B19" s="50" t="s">
        <v>341</v>
      </c>
      <c r="C19" s="50" t="s">
        <v>341</v>
      </c>
      <c r="D19" s="50" t="s">
        <v>341</v>
      </c>
      <c r="E19" s="50" t="s">
        <v>341</v>
      </c>
      <c r="F19" s="50" t="s">
        <v>342</v>
      </c>
      <c r="G19" s="109" t="s">
        <v>343</v>
      </c>
    </row>
    <row r="20" customFormat="false" ht="15" hidden="false" customHeight="false" outlineLevel="0" collapsed="false">
      <c r="A20" s="82" t="s">
        <v>344</v>
      </c>
      <c r="B20" s="50" t="s">
        <v>345</v>
      </c>
      <c r="C20" s="50" t="s">
        <v>345</v>
      </c>
      <c r="D20" s="50" t="s">
        <v>346</v>
      </c>
      <c r="E20" s="50" t="s">
        <v>341</v>
      </c>
      <c r="F20" s="50" t="s">
        <v>325</v>
      </c>
      <c r="G20" s="110" t="s">
        <v>347</v>
      </c>
    </row>
    <row r="22" customFormat="false" ht="15" hidden="false" customHeight="false" outlineLevel="0" collapsed="false">
      <c r="A22" s="81" t="s">
        <v>348</v>
      </c>
    </row>
    <row r="23" customFormat="false" ht="15" hidden="false" customHeight="false" outlineLevel="0" collapsed="false">
      <c r="A23" s="111" t="s">
        <v>349</v>
      </c>
      <c r="B23" s="111" t="s">
        <v>350</v>
      </c>
      <c r="C23" s="111" t="s">
        <v>351</v>
      </c>
      <c r="D23" s="111" t="s">
        <v>352</v>
      </c>
      <c r="E23" s="111" t="s">
        <v>353</v>
      </c>
    </row>
    <row r="24" customFormat="false" ht="15" hidden="false" customHeight="false" outlineLevel="0" collapsed="false">
      <c r="A24" s="86" t="s">
        <v>354</v>
      </c>
      <c r="B24" s="112" t="s">
        <v>355</v>
      </c>
      <c r="C24" s="112" t="s">
        <v>356</v>
      </c>
      <c r="D24" s="50" t="s">
        <v>357</v>
      </c>
      <c r="E24" s="112" t="s">
        <v>358</v>
      </c>
    </row>
    <row r="25" customFormat="false" ht="15" hidden="false" customHeight="false" outlineLevel="0" collapsed="false">
      <c r="A25" s="86" t="s">
        <v>359</v>
      </c>
      <c r="B25" s="112" t="s">
        <v>360</v>
      </c>
      <c r="C25" s="112" t="s">
        <v>361</v>
      </c>
      <c r="D25" s="50" t="s">
        <v>362</v>
      </c>
      <c r="E25" s="112" t="s">
        <v>341</v>
      </c>
    </row>
    <row r="26" customFormat="false" ht="15" hidden="false" customHeight="false" outlineLevel="0" collapsed="false">
      <c r="A26" s="86" t="s">
        <v>363</v>
      </c>
      <c r="B26" s="112" t="s">
        <v>364</v>
      </c>
      <c r="C26" s="112" t="s">
        <v>365</v>
      </c>
      <c r="D26" s="50" t="s">
        <v>366</v>
      </c>
      <c r="E26" s="112" t="s">
        <v>341</v>
      </c>
    </row>
    <row r="27" customFormat="false" ht="15" hidden="false" customHeight="false" outlineLevel="0" collapsed="false">
      <c r="A27" s="86" t="s">
        <v>367</v>
      </c>
      <c r="B27" s="112" t="s">
        <v>368</v>
      </c>
      <c r="C27" s="112" t="s">
        <v>369</v>
      </c>
      <c r="D27" s="50" t="s">
        <v>324</v>
      </c>
      <c r="E27" s="112" t="s">
        <v>341</v>
      </c>
    </row>
    <row r="29" customFormat="false" ht="17.15" hidden="false" customHeight="false" outlineLevel="0" collapsed="false">
      <c r="A29" s="81" t="s">
        <v>370</v>
      </c>
    </row>
    <row r="30" customFormat="false" ht="15" hidden="false" customHeight="false" outlineLevel="0" collapsed="false">
      <c r="A30" s="113" t="s">
        <v>371</v>
      </c>
    </row>
    <row r="31" customFormat="false" ht="15" hidden="false" customHeight="false" outlineLevel="0" collapsed="false">
      <c r="A31" s="114" t="s">
        <v>372</v>
      </c>
      <c r="B31" s="84" t="s">
        <v>373</v>
      </c>
      <c r="C31" s="84"/>
      <c r="D31" s="84"/>
      <c r="E31" s="115" t="s">
        <v>374</v>
      </c>
      <c r="F31" s="84" t="s">
        <v>375</v>
      </c>
    </row>
    <row r="32" customFormat="false" ht="15" hidden="false" customHeight="false" outlineLevel="0" collapsed="false">
      <c r="A32" s="116" t="s">
        <v>376</v>
      </c>
      <c r="B32" s="84" t="s">
        <v>377</v>
      </c>
      <c r="C32" s="84"/>
      <c r="D32" s="84"/>
      <c r="E32" s="115" t="s">
        <v>378</v>
      </c>
      <c r="F32" s="84" t="s">
        <v>379</v>
      </c>
    </row>
    <row r="33" customFormat="false" ht="15" hidden="false" customHeight="false" outlineLevel="0" collapsed="false">
      <c r="A33" s="116" t="s">
        <v>380</v>
      </c>
      <c r="B33" s="84" t="s">
        <v>381</v>
      </c>
      <c r="C33" s="84"/>
      <c r="D33" s="84"/>
      <c r="E33" s="115" t="s">
        <v>382</v>
      </c>
      <c r="F33" s="84" t="s">
        <v>383</v>
      </c>
    </row>
    <row r="34" customFormat="false" ht="15" hidden="false" customHeight="false" outlineLevel="0" collapsed="false">
      <c r="A34" s="116" t="s">
        <v>384</v>
      </c>
      <c r="B34" s="84" t="s">
        <v>385</v>
      </c>
      <c r="C34" s="84"/>
      <c r="D34" s="84"/>
      <c r="E34" s="115" t="s">
        <v>386</v>
      </c>
      <c r="F34" s="84" t="s">
        <v>387</v>
      </c>
    </row>
    <row r="35" customFormat="false" ht="15" hidden="false" customHeight="false" outlineLevel="0" collapsed="false">
      <c r="A35" s="116" t="s">
        <v>388</v>
      </c>
      <c r="B35" s="84"/>
      <c r="C35" s="84"/>
      <c r="D35" s="84"/>
      <c r="E35" s="115" t="s">
        <v>389</v>
      </c>
      <c r="F35" s="87" t="s">
        <v>390</v>
      </c>
    </row>
    <row r="37" customFormat="false" ht="17.15" hidden="false" customHeight="false" outlineLevel="0" collapsed="false">
      <c r="A37" s="81" t="s">
        <v>391</v>
      </c>
    </row>
    <row r="38" customFormat="false" ht="15" hidden="false" customHeight="false" outlineLevel="0" collapsed="false">
      <c r="A38" s="111" t="s">
        <v>392</v>
      </c>
      <c r="B38" s="117" t="s">
        <v>36</v>
      </c>
      <c r="C38" s="117" t="s">
        <v>38</v>
      </c>
      <c r="D38" s="117" t="s">
        <v>40</v>
      </c>
      <c r="E38" s="117" t="s">
        <v>42</v>
      </c>
      <c r="F38" s="117" t="s">
        <v>44</v>
      </c>
      <c r="G38" s="111" t="s">
        <v>393</v>
      </c>
    </row>
    <row r="39" customFormat="false" ht="15" hidden="false" customHeight="false" outlineLevel="0" collapsed="false">
      <c r="A39" s="114" t="s">
        <v>394</v>
      </c>
      <c r="B39" s="50" t="s">
        <v>395</v>
      </c>
      <c r="C39" s="50" t="s">
        <v>396</v>
      </c>
      <c r="D39" s="50" t="s">
        <v>397</v>
      </c>
      <c r="E39" s="50" t="s">
        <v>398</v>
      </c>
      <c r="F39" s="50" t="s">
        <v>399</v>
      </c>
      <c r="G39" s="118" t="s">
        <v>400</v>
      </c>
    </row>
    <row r="40" customFormat="false" ht="15" hidden="false" customHeight="false" outlineLevel="0" collapsed="false">
      <c r="A40" s="114" t="s">
        <v>401</v>
      </c>
      <c r="B40" s="50" t="s">
        <v>402</v>
      </c>
      <c r="C40" s="50" t="s">
        <v>403</v>
      </c>
      <c r="D40" s="50" t="s">
        <v>404</v>
      </c>
      <c r="E40" s="50" t="s">
        <v>405</v>
      </c>
      <c r="F40" s="50" t="s">
        <v>406</v>
      </c>
      <c r="G40" s="118" t="s">
        <v>407</v>
      </c>
    </row>
    <row r="41" customFormat="false" ht="15" hidden="false" customHeight="false" outlineLevel="0" collapsed="false">
      <c r="A41" s="114" t="s">
        <v>408</v>
      </c>
      <c r="B41" s="50" t="s">
        <v>409</v>
      </c>
      <c r="C41" s="50" t="s">
        <v>410</v>
      </c>
      <c r="D41" s="50" t="s">
        <v>411</v>
      </c>
      <c r="E41" s="50" t="s">
        <v>412</v>
      </c>
      <c r="F41" s="50" t="s">
        <v>413</v>
      </c>
      <c r="G41" s="118" t="s">
        <v>414</v>
      </c>
    </row>
    <row r="42" customFormat="false" ht="15" hidden="false" customHeight="false" outlineLevel="0" collapsed="false">
      <c r="A42" s="114" t="s">
        <v>415</v>
      </c>
      <c r="B42" s="50" t="s">
        <v>416</v>
      </c>
      <c r="C42" s="50" t="s">
        <v>417</v>
      </c>
      <c r="D42" s="50" t="s">
        <v>412</v>
      </c>
      <c r="E42" s="50" t="s">
        <v>418</v>
      </c>
      <c r="F42" s="50" t="s">
        <v>419</v>
      </c>
      <c r="G42" s="118" t="s">
        <v>420</v>
      </c>
    </row>
    <row r="43" customFormat="false" ht="15" hidden="false" customHeight="false" outlineLevel="0" collapsed="false">
      <c r="A43" s="116" t="s">
        <v>421</v>
      </c>
      <c r="B43" s="50" t="s">
        <v>422</v>
      </c>
      <c r="C43" s="50" t="s">
        <v>423</v>
      </c>
      <c r="D43" s="50" t="s">
        <v>424</v>
      </c>
      <c r="E43" s="50" t="s">
        <v>425</v>
      </c>
      <c r="F43" s="50" t="s">
        <v>426</v>
      </c>
      <c r="G43" s="118" t="s">
        <v>427</v>
      </c>
    </row>
    <row r="44" customFormat="false" ht="15" hidden="false" customHeight="false" outlineLevel="0" collapsed="false">
      <c r="A44" s="114" t="s">
        <v>428</v>
      </c>
      <c r="B44" s="50" t="s">
        <v>429</v>
      </c>
      <c r="C44" s="50" t="s">
        <v>430</v>
      </c>
      <c r="D44" s="50" t="s">
        <v>431</v>
      </c>
      <c r="E44" s="50" t="s">
        <v>432</v>
      </c>
      <c r="F44" s="50" t="s">
        <v>433</v>
      </c>
      <c r="G44" s="119" t="s">
        <v>434</v>
      </c>
    </row>
    <row r="46" customFormat="false" ht="15" hidden="false" customHeight="false" outlineLevel="0" collapsed="false">
      <c r="A46" s="81" t="s">
        <v>435</v>
      </c>
    </row>
    <row r="47" customFormat="false" ht="27.75" hidden="false" customHeight="true" outlineLevel="0" collapsed="false">
      <c r="A47" s="82" t="s">
        <v>436</v>
      </c>
      <c r="B47" s="120" t="s">
        <v>437</v>
      </c>
      <c r="C47" s="120"/>
      <c r="D47" s="120"/>
      <c r="E47" s="120"/>
      <c r="F47" s="120"/>
      <c r="G47" s="120"/>
    </row>
    <row r="48" customFormat="false" ht="27.75" hidden="false" customHeight="true" outlineLevel="0" collapsed="false">
      <c r="A48" s="86" t="s">
        <v>438</v>
      </c>
      <c r="B48" s="121" t="s">
        <v>439</v>
      </c>
      <c r="C48" s="121"/>
      <c r="D48" s="121"/>
      <c r="E48" s="121"/>
      <c r="F48" s="121"/>
      <c r="G48" s="121"/>
    </row>
    <row r="49" customFormat="false" ht="27.75" hidden="false" customHeight="true" outlineLevel="0" collapsed="false">
      <c r="A49" s="82" t="s">
        <v>440</v>
      </c>
      <c r="B49" s="121" t="s">
        <v>441</v>
      </c>
      <c r="C49" s="121"/>
      <c r="D49" s="121"/>
      <c r="E49" s="121"/>
      <c r="F49" s="121"/>
      <c r="G49" s="121"/>
    </row>
    <row r="50" customFormat="false" ht="27.75" hidden="false" customHeight="true" outlineLevel="0" collapsed="false">
      <c r="A50" s="82" t="s">
        <v>442</v>
      </c>
      <c r="B50" s="121" t="s">
        <v>443</v>
      </c>
      <c r="C50" s="121"/>
      <c r="D50" s="121"/>
      <c r="E50" s="121"/>
      <c r="F50" s="121"/>
      <c r="G50" s="121"/>
    </row>
    <row r="51" customFormat="false" ht="27.75" hidden="false" customHeight="true" outlineLevel="0" collapsed="false">
      <c r="A51" s="86" t="s">
        <v>444</v>
      </c>
      <c r="B51" s="120" t="s">
        <v>445</v>
      </c>
      <c r="C51" s="120"/>
      <c r="D51" s="120"/>
      <c r="E51" s="120"/>
      <c r="F51" s="120"/>
      <c r="G51" s="120"/>
    </row>
    <row r="52" customFormat="false" ht="27.75" hidden="false" customHeight="true" outlineLevel="0" collapsed="false">
      <c r="A52" s="86" t="s">
        <v>446</v>
      </c>
      <c r="B52" s="121" t="s">
        <v>447</v>
      </c>
      <c r="C52" s="121"/>
      <c r="D52" s="121"/>
      <c r="E52" s="121"/>
      <c r="F52" s="121"/>
      <c r="G52" s="121"/>
    </row>
    <row r="54" customFormat="false" ht="15" hidden="false" customHeight="false" outlineLevel="0" collapsed="false">
      <c r="A54" s="122" t="s">
        <v>448</v>
      </c>
    </row>
    <row r="55" customFormat="false" ht="15" hidden="false" customHeight="false" outlineLevel="0" collapsed="false">
      <c r="A55" s="123" t="s">
        <v>449</v>
      </c>
    </row>
    <row r="56" customFormat="false" ht="15" hidden="false" customHeight="false" outlineLevel="0" collapsed="false">
      <c r="A56" s="124" t="s">
        <v>450</v>
      </c>
    </row>
    <row r="58" customFormat="false" ht="17.15" hidden="false" customHeight="false" outlineLevel="0" collapsed="false">
      <c r="A58" s="81" t="s">
        <v>451</v>
      </c>
    </row>
    <row r="59" customFormat="false" ht="15" hidden="false" customHeight="false" outlineLevel="0" collapsed="false">
      <c r="A59" s="74" t="s">
        <v>452</v>
      </c>
    </row>
    <row r="60" customFormat="false" ht="39.75" hidden="false" customHeight="true" outlineLevel="0" collapsed="false">
      <c r="A60" s="125" t="s">
        <v>453</v>
      </c>
      <c r="B60" s="108" t="s">
        <v>454</v>
      </c>
      <c r="C60" s="108" t="s">
        <v>455</v>
      </c>
      <c r="D60" s="108" t="s">
        <v>456</v>
      </c>
      <c r="E60" s="108" t="s">
        <v>457</v>
      </c>
      <c r="F60" s="108" t="s">
        <v>458</v>
      </c>
      <c r="G60" s="108" t="s">
        <v>459</v>
      </c>
      <c r="H60" s="107" t="s">
        <v>460</v>
      </c>
    </row>
    <row r="61" customFormat="false" ht="15" hidden="false" customHeight="false" outlineLevel="0" collapsed="false">
      <c r="A61" s="82" t="s">
        <v>288</v>
      </c>
      <c r="B61" s="126" t="n">
        <v>3200</v>
      </c>
      <c r="C61" s="126" t="n">
        <v>1000</v>
      </c>
      <c r="D61" s="126" t="n">
        <v>800</v>
      </c>
      <c r="E61" s="127" t="s">
        <v>341</v>
      </c>
      <c r="F61" s="126" t="n">
        <v>1500</v>
      </c>
      <c r="G61" s="126" t="n">
        <v>500</v>
      </c>
      <c r="H61" s="128" t="n">
        <v>7000</v>
      </c>
    </row>
    <row r="62" customFormat="false" ht="15" hidden="false" customHeight="false" outlineLevel="0" collapsed="false">
      <c r="A62" s="82" t="s">
        <v>292</v>
      </c>
      <c r="B62" s="126" t="n">
        <v>800</v>
      </c>
      <c r="C62" s="126" t="n">
        <v>400</v>
      </c>
      <c r="D62" s="126" t="n">
        <v>200</v>
      </c>
      <c r="E62" s="127" t="s">
        <v>341</v>
      </c>
      <c r="F62" s="126" t="n">
        <v>400</v>
      </c>
      <c r="G62" s="126" t="n">
        <v>200</v>
      </c>
      <c r="H62" s="128" t="n">
        <v>2000</v>
      </c>
    </row>
    <row r="63" customFormat="false" ht="15" hidden="false" customHeight="false" outlineLevel="0" collapsed="false">
      <c r="A63" s="82" t="s">
        <v>296</v>
      </c>
      <c r="B63" s="126" t="n">
        <v>1200</v>
      </c>
      <c r="C63" s="126" t="n">
        <v>500</v>
      </c>
      <c r="D63" s="126" t="n">
        <v>800</v>
      </c>
      <c r="E63" s="127" t="s">
        <v>341</v>
      </c>
      <c r="F63" s="126" t="n">
        <v>1500</v>
      </c>
      <c r="G63" s="126" t="n">
        <v>1000</v>
      </c>
      <c r="H63" s="128" t="n">
        <v>5000</v>
      </c>
    </row>
    <row r="64" customFormat="false" ht="15" hidden="false" customHeight="false" outlineLevel="0" collapsed="false">
      <c r="A64" s="82" t="s">
        <v>300</v>
      </c>
      <c r="B64" s="126" t="n">
        <v>600</v>
      </c>
      <c r="C64" s="126" t="n">
        <v>600</v>
      </c>
      <c r="D64" s="126" t="n">
        <v>1200</v>
      </c>
      <c r="E64" s="127" t="s">
        <v>341</v>
      </c>
      <c r="F64" s="126" t="n">
        <v>1200</v>
      </c>
      <c r="G64" s="126" t="n">
        <v>1900</v>
      </c>
      <c r="H64" s="128" t="n">
        <v>5500</v>
      </c>
    </row>
    <row r="65" customFormat="false" ht="15" hidden="false" customHeight="false" outlineLevel="0" collapsed="false">
      <c r="A65" s="82" t="s">
        <v>461</v>
      </c>
      <c r="B65" s="127" t="s">
        <v>341</v>
      </c>
      <c r="C65" s="127" t="s">
        <v>341</v>
      </c>
      <c r="D65" s="127" t="s">
        <v>341</v>
      </c>
      <c r="E65" s="126" t="n">
        <v>2800</v>
      </c>
      <c r="F65" s="127" t="s">
        <v>341</v>
      </c>
      <c r="G65" s="127" t="s">
        <v>341</v>
      </c>
      <c r="H65" s="128" t="n">
        <v>2800</v>
      </c>
    </row>
    <row r="66" customFormat="false" ht="15" hidden="false" customHeight="false" outlineLevel="0" collapsed="false">
      <c r="A66" s="82" t="s">
        <v>462</v>
      </c>
      <c r="B66" s="126" t="n">
        <v>200</v>
      </c>
      <c r="C66" s="127" t="s">
        <v>341</v>
      </c>
      <c r="D66" s="126" t="n">
        <v>200</v>
      </c>
      <c r="E66" s="127" t="s">
        <v>341</v>
      </c>
      <c r="F66" s="126" t="n">
        <v>600</v>
      </c>
      <c r="G66" s="126" t="n">
        <v>400</v>
      </c>
      <c r="H66" s="128" t="n">
        <v>1400</v>
      </c>
    </row>
    <row r="67" customFormat="false" ht="15" hidden="false" customHeight="false" outlineLevel="0" collapsed="false">
      <c r="A67" s="129" t="s">
        <v>463</v>
      </c>
      <c r="B67" s="130" t="n">
        <v>6000</v>
      </c>
      <c r="C67" s="130" t="n">
        <v>2500</v>
      </c>
      <c r="D67" s="130" t="n">
        <v>3200</v>
      </c>
      <c r="E67" s="130" t="n">
        <v>2800</v>
      </c>
      <c r="F67" s="130" t="n">
        <v>5200</v>
      </c>
      <c r="G67" s="130" t="n">
        <v>4000</v>
      </c>
      <c r="H67" s="131" t="n">
        <v>23700</v>
      </c>
    </row>
    <row r="69" customFormat="false" ht="15" hidden="false" customHeight="false" outlineLevel="0" collapsed="false">
      <c r="A69" s="113" t="s">
        <v>464</v>
      </c>
    </row>
    <row r="70" customFormat="false" ht="15" hidden="false" customHeight="false" outlineLevel="0" collapsed="false">
      <c r="A70" s="132" t="s">
        <v>465</v>
      </c>
      <c r="B70" s="132"/>
      <c r="C70" s="132"/>
      <c r="D70" s="132"/>
      <c r="E70" s="132"/>
      <c r="F70" s="132"/>
      <c r="G70" s="132"/>
      <c r="H70" s="132"/>
    </row>
    <row r="71" customFormat="false" ht="15" hidden="false" customHeight="false" outlineLevel="0" collapsed="false">
      <c r="A71" s="132" t="s">
        <v>466</v>
      </c>
      <c r="B71" s="132"/>
      <c r="C71" s="132"/>
      <c r="D71" s="132"/>
      <c r="E71" s="132"/>
      <c r="F71" s="132"/>
      <c r="G71" s="132"/>
      <c r="H71" s="132"/>
    </row>
    <row r="72" customFormat="false" ht="15" hidden="false" customHeight="false" outlineLevel="0" collapsed="false">
      <c r="A72" s="133" t="s">
        <v>467</v>
      </c>
      <c r="B72" s="133"/>
      <c r="C72" s="133"/>
      <c r="D72" s="133"/>
      <c r="E72" s="133"/>
      <c r="F72" s="133"/>
      <c r="G72" s="133"/>
      <c r="H72" s="133"/>
    </row>
  </sheetData>
  <mergeCells count="16">
    <mergeCell ref="A1:I1"/>
    <mergeCell ref="A2:I2"/>
    <mergeCell ref="B31:D31"/>
    <mergeCell ref="B32:D32"/>
    <mergeCell ref="B33:D33"/>
    <mergeCell ref="B34:D34"/>
    <mergeCell ref="B35:D35"/>
    <mergeCell ref="B47:G47"/>
    <mergeCell ref="B48:G48"/>
    <mergeCell ref="B49:G49"/>
    <mergeCell ref="B50:G50"/>
    <mergeCell ref="B51:G51"/>
    <mergeCell ref="B52:G52"/>
    <mergeCell ref="A70:H70"/>
    <mergeCell ref="A71:H71"/>
    <mergeCell ref="A72:H7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2026-03-31T14:36:51Z</dcterms:created>
  <dc:creator>openpyxl</dc:creator>
  <dc:description/>
  <dc:language>en-US</dc:language>
  <cp:lastModifiedBy/>
  <dcterms:modified xsi:type="dcterms:W3CDTF">2026-04-07T13:15:32Z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